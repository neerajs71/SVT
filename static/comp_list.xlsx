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/>
  <xr:revisionPtr revIDLastSave="0" documentId="13_ncr:1_{BFDD0315-DCDE-E947-B3BA-8EA4B8090825}" xr6:coauthVersionLast="47" xr6:coauthVersionMax="47" xr10:uidLastSave="{00000000-0000-0000-0000-000000000000}"/>
  <bookViews>
    <workbookView xWindow="0" yWindow="500" windowWidth="25600" windowHeight="14480" xr2:uid="{00000000-000D-0000-FFFF-FFFF00000000}"/>
  </bookViews>
  <sheets>
    <sheet name="comps" sheetId="3" r:id="rId1"/>
  </sheets>
  <definedNames>
    <definedName name="_xlnm._FilterDatabase" localSheetId="0" hidden="1">comps!$A$1:$T$1048432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8" i="3" l="1"/>
  <c r="A58" i="3"/>
  <c r="R51" i="3"/>
  <c r="R50" i="3"/>
  <c r="R49" i="3"/>
  <c r="R48" i="3"/>
  <c r="R47" i="3"/>
  <c r="R46" i="3"/>
  <c r="R45" i="3"/>
  <c r="R44" i="3"/>
  <c r="R43" i="3"/>
  <c r="R42" i="3"/>
  <c r="R40" i="3"/>
  <c r="R41" i="3"/>
  <c r="R39" i="3"/>
  <c r="R38" i="3"/>
  <c r="R37" i="3"/>
  <c r="R36" i="3"/>
  <c r="R35" i="3"/>
  <c r="R34" i="3"/>
  <c r="R33" i="3"/>
  <c r="R32" i="3"/>
  <c r="R31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R30" i="3"/>
  <c r="R29" i="3"/>
  <c r="R28" i="3"/>
  <c r="R27" i="3"/>
  <c r="R26" i="3"/>
  <c r="R25" i="3"/>
  <c r="R13" i="3"/>
  <c r="R12" i="3"/>
  <c r="R9" i="3"/>
  <c r="R8" i="3"/>
  <c r="R11" i="3"/>
  <c r="R10" i="3"/>
  <c r="R7" i="3"/>
  <c r="R6" i="3"/>
  <c r="R5" i="3"/>
  <c r="R4" i="3"/>
  <c r="R3" i="3"/>
  <c r="R2" i="3"/>
  <c r="R56" i="3"/>
  <c r="A39" i="3" l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R55" i="3"/>
  <c r="R19" i="3" l="1"/>
  <c r="R18" i="3"/>
  <c r="R53" i="3"/>
  <c r="R17" i="3"/>
  <c r="R52" i="3"/>
  <c r="R16" i="3" l="1"/>
  <c r="R57" i="3" l="1"/>
  <c r="R15" i="3"/>
  <c r="R14" i="3" l="1"/>
  <c r="R24" i="3"/>
  <c r="R23" i="3"/>
  <c r="R22" i="3"/>
  <c r="R21" i="3"/>
  <c r="R20" i="3"/>
  <c r="R54" i="3"/>
</calcChain>
</file>

<file path=xl/sharedStrings.xml><?xml version="1.0" encoding="utf-8"?>
<sst xmlns="http://schemas.openxmlformats.org/spreadsheetml/2006/main" count="761" uniqueCount="161">
  <si>
    <t>comp_id</t>
  </si>
  <si>
    <t>category</t>
  </si>
  <si>
    <t>sub_category</t>
  </si>
  <si>
    <t>description</t>
  </si>
  <si>
    <t>od</t>
  </si>
  <si>
    <t>id</t>
  </si>
  <si>
    <t>length</t>
  </si>
  <si>
    <t>weight</t>
  </si>
  <si>
    <t>company</t>
  </si>
  <si>
    <t>top_thread_size</t>
  </si>
  <si>
    <t>bot_thread_size</t>
  </si>
  <si>
    <t>top_thread_type</t>
  </si>
  <si>
    <t>bot_thread_type</t>
  </si>
  <si>
    <t>grade</t>
  </si>
  <si>
    <t>tool_comp</t>
  </si>
  <si>
    <t>magnification</t>
  </si>
  <si>
    <t>type</t>
  </si>
  <si>
    <t>search_string</t>
  </si>
  <si>
    <t>tag_1</t>
  </si>
  <si>
    <t>tag_2</t>
  </si>
  <si>
    <t>Flow Control</t>
  </si>
  <si>
    <t>Flow Coupling</t>
  </si>
  <si>
    <t>Baker Hughes</t>
  </si>
  <si>
    <t>15/16-10</t>
  </si>
  <si>
    <t>Vam Box</t>
  </si>
  <si>
    <t>Vam Pin</t>
  </si>
  <si>
    <t>L-80</t>
  </si>
  <si>
    <t>FLOW_CONTROL.FLOW_COUPLING</t>
  </si>
  <si>
    <t>jsonImage</t>
  </si>
  <si>
    <t>Steel</t>
  </si>
  <si>
    <t>Flow Pup</t>
  </si>
  <si>
    <t>Flow Pup Lower</t>
  </si>
  <si>
    <t>Generic</t>
  </si>
  <si>
    <t>FLOW_CONTROL.FLOW_PUP_LOWER</t>
  </si>
  <si>
    <t>Flow Pup Upper</t>
  </si>
  <si>
    <t>FLOW_CONTROL.FLOW_PUP_UPPER</t>
  </si>
  <si>
    <t>Nipple</t>
  </si>
  <si>
    <t>Nipple AR No-Go</t>
  </si>
  <si>
    <t>FLOW_CONTROL.NIPPLE_AR_NO_GO</t>
  </si>
  <si>
    <t>Nipple BN</t>
  </si>
  <si>
    <t>FLOW_CONTROL.NIPPLE_BN</t>
  </si>
  <si>
    <t>Nipple BX</t>
  </si>
  <si>
    <t>FLOW_CONTROL.NIPPLE_BX</t>
  </si>
  <si>
    <t>Nipple BXN</t>
  </si>
  <si>
    <t>FLOW_CONTROL.NIPPLE_BXN</t>
  </si>
  <si>
    <t>Nipple R Landing</t>
  </si>
  <si>
    <t>FLOW_CONTROL.NIPPLE_R_LANDING</t>
  </si>
  <si>
    <t>Sliding Sleeve</t>
  </si>
  <si>
    <t>SSD Sliding Sleeve</t>
  </si>
  <si>
    <t>FLOW_CONTROL.SSD_1</t>
  </si>
  <si>
    <t>TRSSSV</t>
  </si>
  <si>
    <t>TRSSSV SP</t>
  </si>
  <si>
    <t>FLOW_CONTROL.TRSSSV_SP</t>
  </si>
  <si>
    <t>TRSSSV BALL</t>
  </si>
  <si>
    <t>FLOW_CONTROL.TRSSV_BALL</t>
  </si>
  <si>
    <t>TRSSSV FLAPPER</t>
  </si>
  <si>
    <t>FLOW_CONTROL.TRSSV_FLAPPER</t>
  </si>
  <si>
    <t>1 1/16-10</t>
  </si>
  <si>
    <t>bridgePlugRed</t>
  </si>
  <si>
    <t>Iron</t>
  </si>
  <si>
    <t>head</t>
  </si>
  <si>
    <t>Screen</t>
  </si>
  <si>
    <t>Baker Screen</t>
  </si>
  <si>
    <t>3-1/8"</t>
  </si>
  <si>
    <t>2-7/8"</t>
  </si>
  <si>
    <t>CR-13</t>
  </si>
  <si>
    <t>Pup Joint</t>
  </si>
  <si>
    <t>Flow Control Pup - Upper</t>
  </si>
  <si>
    <t>Flow Control Pup - Lower</t>
  </si>
  <si>
    <t>Coupling</t>
  </si>
  <si>
    <t>Hanger</t>
  </si>
  <si>
    <t>Liner Hanger</t>
  </si>
  <si>
    <t>My Liner Hanger</t>
  </si>
  <si>
    <t>Halliburton</t>
  </si>
  <si>
    <t>Eue Box</t>
  </si>
  <si>
    <t>Eue Pin</t>
  </si>
  <si>
    <t>HES Versaflex</t>
  </si>
  <si>
    <t>Your Liner Hanger</t>
  </si>
  <si>
    <t>Schlumberger</t>
  </si>
  <si>
    <t>Composite</t>
  </si>
  <si>
    <t>His Liner Hanger</t>
  </si>
  <si>
    <t>Their Liner Hanger</t>
  </si>
  <si>
    <t>Weatherford</t>
  </si>
  <si>
    <t>Baker Liner Hanger</t>
  </si>
  <si>
    <t>Superior</t>
  </si>
  <si>
    <t>Liner</t>
  </si>
  <si>
    <t>Miscellaneous</t>
  </si>
  <si>
    <t>Shoe</t>
  </si>
  <si>
    <t>Bell Guide</t>
  </si>
  <si>
    <t>MISC.BELL_GUIDE</t>
  </si>
  <si>
    <t>Crossover</t>
  </si>
  <si>
    <t>MISC.CROSSOVER</t>
  </si>
  <si>
    <t>Joint</t>
  </si>
  <si>
    <t>Expansion Joint</t>
  </si>
  <si>
    <t>MISC.EXPANSION_JOINT</t>
  </si>
  <si>
    <t>Gas Lift</t>
  </si>
  <si>
    <t>Gas Lift Mandrel</t>
  </si>
  <si>
    <t>MISC.GAS_LIFT_MANDREL</t>
  </si>
  <si>
    <t>Mandrel</t>
  </si>
  <si>
    <t>Gauge Mandrel</t>
  </si>
  <si>
    <t>MISC.GAUGE_MANDREL</t>
  </si>
  <si>
    <t>Mule Shoe Reciprocating</t>
  </si>
  <si>
    <t>MISC.MULE_SHOE_RECIPROCATING</t>
  </si>
  <si>
    <t>Mule Shoe Shearable</t>
  </si>
  <si>
    <t>MISC.MULE_SHOE_SHEARABLE</t>
  </si>
  <si>
    <t>Mule Shoe</t>
  </si>
  <si>
    <t>MISC.MULE_SHOE</t>
  </si>
  <si>
    <t>Perforated Pup Joint</t>
  </si>
  <si>
    <t>MISC.PERF_PUP</t>
  </si>
  <si>
    <t>Side Pocket Mandrel</t>
  </si>
  <si>
    <t>MISC.SIDE_POCKET_MANDREL</t>
  </si>
  <si>
    <t>Travel Joint</t>
  </si>
  <si>
    <t>MISC.TRAVEL_JOINT</t>
  </si>
  <si>
    <t>Tubing Pup Joint</t>
  </si>
  <si>
    <t>MISC.TUBING_PUP</t>
  </si>
  <si>
    <t>Tubing Joints</t>
  </si>
  <si>
    <t>MISC.TUBING</t>
  </si>
  <si>
    <t>Union</t>
  </si>
  <si>
    <t>Adjustable Union</t>
  </si>
  <si>
    <t>MISC.UNION_ADJUSTABLE</t>
  </si>
  <si>
    <t>Packer</t>
  </si>
  <si>
    <t>AHC Packer</t>
  </si>
  <si>
    <t>PACKERS.AHC_PACKER</t>
  </si>
  <si>
    <t>AHC  AHR Packer</t>
  </si>
  <si>
    <t>PACKERS.PACKER_AHR_AHC</t>
  </si>
  <si>
    <t>ASV Packer</t>
  </si>
  <si>
    <t>PACKERS.PACKER_ASV</t>
  </si>
  <si>
    <t>Baker Permanent Packer</t>
  </si>
  <si>
    <t>PACKERS.PACKER_BAKER_PERMANENT</t>
  </si>
  <si>
    <t>Baker Signature DF Packer</t>
  </si>
  <si>
    <t>PACKERS.PACKER_BAKER_SIGNATURE_DF</t>
  </si>
  <si>
    <t>Baker Direct Packer</t>
  </si>
  <si>
    <t>PACKERS.PACKER_DIRECT</t>
  </si>
  <si>
    <t>MHR Ratch Packer</t>
  </si>
  <si>
    <t>PACKERS.PACKER_MHR_RATCH</t>
  </si>
  <si>
    <t>RDH Packer</t>
  </si>
  <si>
    <t>PACKERS.PACKER_RDH</t>
  </si>
  <si>
    <t>RH Packer</t>
  </si>
  <si>
    <t>PACKERS.PACKER_RH</t>
  </si>
  <si>
    <t>Baker Sand Control Packer Pin Down</t>
  </si>
  <si>
    <t>PACKERS.PACKER_SAND_CONTROL_PIN_DOWN</t>
  </si>
  <si>
    <t>Baker Sand Control Packer Control Box Down</t>
  </si>
  <si>
    <t>PACKERS.PACKER_SAND_CTROL_CTRL_BX_DN</t>
  </si>
  <si>
    <t>Plug</t>
  </si>
  <si>
    <t>Frac Plug</t>
  </si>
  <si>
    <t>NA</t>
  </si>
  <si>
    <t>PACKERS.PLUG_FRAC</t>
  </si>
  <si>
    <t>Sand Control</t>
  </si>
  <si>
    <t>Sand Control Packer</t>
  </si>
  <si>
    <t>Permanent Packer</t>
  </si>
  <si>
    <t>Plugs</t>
  </si>
  <si>
    <t>Bridge Plug</t>
  </si>
  <si>
    <t>Baker Bridge Plug</t>
  </si>
  <si>
    <t>Baker</t>
  </si>
  <si>
    <t>Tubing</t>
  </si>
  <si>
    <t>General</t>
  </si>
  <si>
    <t>Tubing Pup</t>
  </si>
  <si>
    <t>Completions</t>
  </si>
  <si>
    <t>2-15/16-10</t>
  </si>
  <si>
    <t>liner_hanger_red</t>
  </si>
  <si>
    <t>tbgHanger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</si>
</sst>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applyNumberFormat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3">
    <dxf>
      <numFmt numFmtId="2" formatCode="0.00"/>
    </dxf>
    <dxf>
      <numFmt numFmtId="164" formatCode="0.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4A029-35D9-4EA4-AE4C-BB40DD931419}" name="Table1" displayName="Table1" ref="A1:T1048432" totalsRowShown="0">
  <sortState xmlns:xlrd2="http://schemas.microsoft.com/office/spreadsheetml/2017/richdata2" ref="A2:T1048432">
    <sortCondition ref="B1:B1048432"/>
  </sortState>
  <tableColumns count="20">
    <tableColumn id="1" xr3:uid="{5260C30D-FE05-4798-893F-77218AB7D3DA}" name="comp_id"/>
    <tableColumn id="2" xr3:uid="{0147DE60-A9A7-4A93-B24B-D76067EF0934}" name="category"/>
    <tableColumn id="3" xr3:uid="{4830567F-C578-43DB-9266-AEDDEF8F30CB}" name="sub_category"/>
    <tableColumn id="4" xr3:uid="{83AB3757-8754-4E98-ACD3-D63D6A3C65DD}" name="description"/>
    <tableColumn id="5" xr3:uid="{547000B9-2632-4753-A7D5-93C3B33747B6}" name="od" dataDxfId="2" dataCellStyle="Comma"/>
    <tableColumn id="6" xr3:uid="{B41B5CA5-2C2D-45D8-B603-96DCAF6BA898}" name="id" dataDxfId="1" dataCellStyle="Comma"/>
    <tableColumn id="7" xr3:uid="{AE72F7B6-2A5A-485F-9B8B-850FEDB42F49}" name="length" dataDxfId="0" dataCellStyle="Comma"/>
    <tableColumn id="8" xr3:uid="{71FC4247-AE95-4CA8-9A8E-BEE3D6410696}" name="weight"/>
    <tableColumn id="9" xr3:uid="{E814D5B4-AD8F-4192-BBCD-B869A643F54E}" name="company"/>
    <tableColumn id="10" xr3:uid="{58F74B39-47AC-416E-AA0B-CA911AA23E5F}" name="top_thread_size"/>
    <tableColumn id="11" xr3:uid="{F19C662D-DDB8-4A8A-8C82-290EB05D8897}" name="bot_thread_size"/>
    <tableColumn id="12" xr3:uid="{14ACAD9F-7883-4E48-ACAD-E05EFBDA9862}" name="top_thread_type"/>
    <tableColumn id="13" xr3:uid="{99956456-AFE6-4F1E-9250-91B356D089B1}" name="bot_thread_type"/>
    <tableColumn id="14" xr3:uid="{D28A38D2-C923-4FA1-BA89-839C4A948806}" name="grade"/>
    <tableColumn id="16" xr3:uid="{1F7D6B9F-5AF2-49F7-9FC3-AF69DE58DA4B}" name="tool_comp"/>
    <tableColumn id="17" xr3:uid="{9705C72E-CB5B-4905-BA00-323E7C76C552}" name="magnification"/>
    <tableColumn id="18" xr3:uid="{27378973-5AF2-4E32-B37E-3B502A1D86A8}" name="type"/>
    <tableColumn id="19" xr3:uid="{5950A882-C9B8-4968-9052-F7ADC62D9B5B}" name="search_string"/>
    <tableColumn id="20" xr3:uid="{9035783D-A94F-4E44-A7E9-DB91CEE3657C}" name="tag_1"/>
    <tableColumn id="21" xr3:uid="{66DAB85B-70B1-44EE-915A-25F53A9B5A39}" name="tag_2"/>
  </tableColumns>
  <tableStyleInfo name="TableStyleMedium7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EF86-15B8-45D7-85DF-318368785DFB}">
  <dimension ref="A1:T58"/>
  <sheetViews>
    <sheetView tabSelected="1" zoomScale="113" zoomScaleNormal="113" workbookViewId="0">
      <pane xSplit="2" ySplit="1" topLeftCell="L33" activePane="bottomRight" state="frozen"/>
      <selection pane="topRight" activeCell="C1" sqref="C1"/>
      <selection pane="bottomLeft" activeCell="A2" sqref="A2"/>
      <selection pane="bottomRight" activeCell="L58" sqref="L58"/>
    </sheetView>
  </sheetViews>
  <sheetFormatPr baseColWidth="10" defaultColWidth="8.83203125" defaultRowHeight="15" x14ac:dyDescent="0.2"/>
  <cols>
    <col min="1" max="1" width="10.83203125" bestFit="1" customWidth="1"/>
    <col min="2" max="2" width="13.6640625" bestFit="1" customWidth="1"/>
    <col min="3" max="3" width="15" bestFit="1" customWidth="1"/>
    <col min="4" max="4" width="20.6640625" customWidth="1"/>
    <col min="5" max="5" width="6.83203125" style="1" bestFit="1" customWidth="1"/>
    <col min="6" max="6" width="6.83203125" style="2" bestFit="1" customWidth="1"/>
    <col min="7" max="7" width="9" style="1" bestFit="1" customWidth="1"/>
    <col min="8" max="8" width="9.33203125" bestFit="1" customWidth="1"/>
    <col min="9" max="9" width="12.1640625" bestFit="1" customWidth="1"/>
    <col min="10" max="11" width="17.33203125" bestFit="1" customWidth="1"/>
    <col min="12" max="13" width="18.33203125" bestFit="1" customWidth="1"/>
    <col min="14" max="14" width="8.5" bestFit="1" customWidth="1"/>
    <col min="15" max="15" width="43.1640625" bestFit="1" customWidth="1"/>
    <col min="16" max="16" width="15.33203125" bestFit="1" customWidth="1"/>
    <col min="17" max="17" width="9.33203125" bestFit="1" customWidth="1"/>
    <col min="18" max="18" width="98.83203125" bestFit="1" customWidth="1"/>
    <col min="19" max="19" width="12.1640625" bestFit="1" customWidth="1"/>
    <col min="20" max="20" width="14.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 t="s">
        <v>20</v>
      </c>
      <c r="C2" t="s">
        <v>21</v>
      </c>
      <c r="D2" t="s">
        <v>21</v>
      </c>
      <c r="E2" s="1">
        <v>3.56</v>
      </c>
      <c r="F2" s="2">
        <v>0</v>
      </c>
      <c r="G2" s="1">
        <v>0.5</v>
      </c>
      <c r="H2">
        <v>10</v>
      </c>
      <c r="I2" t="s">
        <v>22</v>
      </c>
      <c r="J2" t="s">
        <v>23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>
        <v>200</v>
      </c>
      <c r="Q2" t="s">
        <v>28</v>
      </c>
      <c r="R2" t="str">
        <f t="shared" ref="R2:R33" si="0">B2&amp;C2&amp;D2&amp;E2&amp;G2&amp;H2&amp;I2&amp;J2&amp;K2&amp;L2&amp;M2&amp;N2&amp;S2&amp;T2</f>
        <v>Flow ControlFlow CouplingFlow Coupling3.560.510Baker Hughes15/16-1015/16-10Vam BoxVam PinL-80SteelSteel</v>
      </c>
      <c r="S2" t="s">
        <v>29</v>
      </c>
      <c r="T2" t="s">
        <v>29</v>
      </c>
    </row>
    <row r="3" spans="1:20" x14ac:dyDescent="0.2">
      <c r="A3">
        <f>A2+1</f>
        <v>2</v>
      </c>
      <c r="B3" t="s">
        <v>20</v>
      </c>
      <c r="C3" t="s">
        <v>30</v>
      </c>
      <c r="D3" t="s">
        <v>31</v>
      </c>
      <c r="E3" s="1">
        <v>3.56</v>
      </c>
      <c r="F3" s="2">
        <v>0</v>
      </c>
      <c r="G3" s="1">
        <v>0.5</v>
      </c>
      <c r="H3">
        <v>10</v>
      </c>
      <c r="I3" t="s">
        <v>32</v>
      </c>
      <c r="J3" t="s">
        <v>23</v>
      </c>
      <c r="K3" t="s">
        <v>23</v>
      </c>
      <c r="L3" t="s">
        <v>24</v>
      </c>
      <c r="M3" t="s">
        <v>25</v>
      </c>
      <c r="N3" t="s">
        <v>26</v>
      </c>
      <c r="O3" t="s">
        <v>33</v>
      </c>
      <c r="P3">
        <v>200</v>
      </c>
      <c r="Q3" t="s">
        <v>28</v>
      </c>
      <c r="R3" t="str">
        <f t="shared" si="0"/>
        <v>Flow ControlFlow PupFlow Pup Lower3.560.510Generic15/16-1015/16-10Vam BoxVam PinL-80SteelSteel</v>
      </c>
      <c r="S3" t="s">
        <v>29</v>
      </c>
      <c r="T3" t="s">
        <v>29</v>
      </c>
    </row>
    <row r="4" spans="1:20" x14ac:dyDescent="0.2">
      <c r="A4">
        <f t="shared" ref="A4:A58" si="1">A3+1</f>
        <v>3</v>
      </c>
      <c r="B4" t="s">
        <v>20</v>
      </c>
      <c r="C4" t="s">
        <v>30</v>
      </c>
      <c r="D4" t="s">
        <v>34</v>
      </c>
      <c r="E4" s="1">
        <v>3.56</v>
      </c>
      <c r="F4" s="2">
        <v>0</v>
      </c>
      <c r="G4" s="1">
        <v>0.5</v>
      </c>
      <c r="H4">
        <v>10</v>
      </c>
      <c r="I4" t="s">
        <v>32</v>
      </c>
      <c r="J4" t="s">
        <v>23</v>
      </c>
      <c r="K4" t="s">
        <v>23</v>
      </c>
      <c r="L4" t="s">
        <v>24</v>
      </c>
      <c r="M4" t="s">
        <v>25</v>
      </c>
      <c r="N4" t="s">
        <v>26</v>
      </c>
      <c r="O4" t="s">
        <v>35</v>
      </c>
      <c r="P4">
        <v>200</v>
      </c>
      <c r="Q4" t="s">
        <v>28</v>
      </c>
      <c r="R4" t="str">
        <f t="shared" si="0"/>
        <v>Flow ControlFlow PupFlow Pup Upper3.560.510Generic15/16-1015/16-10Vam BoxVam PinL-80SteelSteel</v>
      </c>
      <c r="S4" t="s">
        <v>29</v>
      </c>
      <c r="T4" t="s">
        <v>29</v>
      </c>
    </row>
    <row r="5" spans="1:20" x14ac:dyDescent="0.2">
      <c r="A5">
        <f t="shared" si="1"/>
        <v>4</v>
      </c>
      <c r="B5" t="s">
        <v>20</v>
      </c>
      <c r="C5" t="s">
        <v>36</v>
      </c>
      <c r="D5" t="s">
        <v>37</v>
      </c>
      <c r="E5" s="1">
        <v>3.56</v>
      </c>
      <c r="F5" s="2">
        <v>0</v>
      </c>
      <c r="G5" s="1">
        <v>0.5</v>
      </c>
      <c r="H5">
        <v>10</v>
      </c>
      <c r="I5" t="s">
        <v>32</v>
      </c>
      <c r="J5" t="s">
        <v>23</v>
      </c>
      <c r="K5" t="s">
        <v>23</v>
      </c>
      <c r="L5" t="s">
        <v>24</v>
      </c>
      <c r="M5" t="s">
        <v>25</v>
      </c>
      <c r="N5" t="s">
        <v>26</v>
      </c>
      <c r="O5" t="s">
        <v>38</v>
      </c>
      <c r="P5">
        <v>200</v>
      </c>
      <c r="Q5" t="s">
        <v>28</v>
      </c>
      <c r="R5" t="str">
        <f t="shared" si="0"/>
        <v>Flow ControlNippleNipple AR No-Go3.560.510Generic15/16-1015/16-10Vam BoxVam PinL-80SteelSteel</v>
      </c>
      <c r="S5" t="s">
        <v>29</v>
      </c>
      <c r="T5" t="s">
        <v>29</v>
      </c>
    </row>
    <row r="6" spans="1:20" x14ac:dyDescent="0.2">
      <c r="A6">
        <f t="shared" si="1"/>
        <v>5</v>
      </c>
      <c r="B6" t="s">
        <v>20</v>
      </c>
      <c r="C6" t="s">
        <v>36</v>
      </c>
      <c r="D6" t="s">
        <v>39</v>
      </c>
      <c r="E6" s="1">
        <v>3.56</v>
      </c>
      <c r="F6" s="2">
        <v>0</v>
      </c>
      <c r="G6" s="1">
        <v>0.5</v>
      </c>
      <c r="H6">
        <v>10</v>
      </c>
      <c r="I6" t="s">
        <v>32</v>
      </c>
      <c r="J6" t="s">
        <v>23</v>
      </c>
      <c r="K6" t="s">
        <v>23</v>
      </c>
      <c r="L6" t="s">
        <v>24</v>
      </c>
      <c r="M6" t="s">
        <v>25</v>
      </c>
      <c r="N6" t="s">
        <v>26</v>
      </c>
      <c r="O6" t="s">
        <v>40</v>
      </c>
      <c r="P6">
        <v>200</v>
      </c>
      <c r="Q6" t="s">
        <v>28</v>
      </c>
      <c r="R6" t="str">
        <f t="shared" si="0"/>
        <v>Flow ControlNippleNipple BN3.560.510Generic15/16-1015/16-10Vam BoxVam PinL-80SteelSteel</v>
      </c>
      <c r="S6" t="s">
        <v>29</v>
      </c>
      <c r="T6" t="s">
        <v>29</v>
      </c>
    </row>
    <row r="7" spans="1:20" x14ac:dyDescent="0.2">
      <c r="A7">
        <f t="shared" si="1"/>
        <v>6</v>
      </c>
      <c r="B7" t="s">
        <v>20</v>
      </c>
      <c r="C7" t="s">
        <v>36</v>
      </c>
      <c r="D7" t="s">
        <v>41</v>
      </c>
      <c r="E7" s="1">
        <v>3.56</v>
      </c>
      <c r="F7" s="2">
        <v>0</v>
      </c>
      <c r="G7" s="1">
        <v>0.5</v>
      </c>
      <c r="H7">
        <v>10</v>
      </c>
      <c r="I7" t="s">
        <v>32</v>
      </c>
      <c r="J7" t="s">
        <v>23</v>
      </c>
      <c r="K7" t="s">
        <v>23</v>
      </c>
      <c r="L7" t="s">
        <v>24</v>
      </c>
      <c r="M7" t="s">
        <v>25</v>
      </c>
      <c r="N7" t="s">
        <v>26</v>
      </c>
      <c r="O7" t="s">
        <v>42</v>
      </c>
      <c r="P7">
        <v>200</v>
      </c>
      <c r="Q7" t="s">
        <v>28</v>
      </c>
      <c r="R7" t="str">
        <f t="shared" si="0"/>
        <v>Flow ControlNippleNipple BX3.560.510Generic15/16-1015/16-10Vam BoxVam PinL-80SteelSteel</v>
      </c>
      <c r="S7" t="s">
        <v>29</v>
      </c>
      <c r="T7" t="s">
        <v>29</v>
      </c>
    </row>
    <row r="8" spans="1:20" x14ac:dyDescent="0.2">
      <c r="A8">
        <f t="shared" si="1"/>
        <v>7</v>
      </c>
      <c r="B8" t="s">
        <v>20</v>
      </c>
      <c r="C8" t="s">
        <v>36</v>
      </c>
      <c r="D8" t="s">
        <v>43</v>
      </c>
      <c r="E8" s="1">
        <v>3.56</v>
      </c>
      <c r="F8" s="2">
        <v>0</v>
      </c>
      <c r="G8" s="1">
        <v>0.5</v>
      </c>
      <c r="H8">
        <v>10</v>
      </c>
      <c r="I8" t="s">
        <v>32</v>
      </c>
      <c r="J8" t="s">
        <v>23</v>
      </c>
      <c r="K8" t="s">
        <v>23</v>
      </c>
      <c r="L8" t="s">
        <v>24</v>
      </c>
      <c r="M8" t="s">
        <v>25</v>
      </c>
      <c r="N8" t="s">
        <v>26</v>
      </c>
      <c r="O8" t="s">
        <v>44</v>
      </c>
      <c r="P8">
        <v>200</v>
      </c>
      <c r="Q8" t="s">
        <v>28</v>
      </c>
      <c r="R8" t="str">
        <f t="shared" si="0"/>
        <v>Flow ControlNippleNipple BXN3.560.510Generic15/16-1015/16-10Vam BoxVam PinL-80SteelSteel</v>
      </c>
      <c r="S8" t="s">
        <v>29</v>
      </c>
      <c r="T8" t="s">
        <v>29</v>
      </c>
    </row>
    <row r="9" spans="1:20" x14ac:dyDescent="0.2">
      <c r="A9">
        <f t="shared" si="1"/>
        <v>8</v>
      </c>
      <c r="B9" t="s">
        <v>20</v>
      </c>
      <c r="C9" t="s">
        <v>36</v>
      </c>
      <c r="D9" t="s">
        <v>45</v>
      </c>
      <c r="E9" s="1">
        <v>3.56</v>
      </c>
      <c r="F9" s="2">
        <v>0</v>
      </c>
      <c r="G9" s="1">
        <v>0.5</v>
      </c>
      <c r="H9">
        <v>10</v>
      </c>
      <c r="I9" t="s">
        <v>32</v>
      </c>
      <c r="J9" t="s">
        <v>23</v>
      </c>
      <c r="K9" t="s">
        <v>23</v>
      </c>
      <c r="L9" t="s">
        <v>24</v>
      </c>
      <c r="M9" t="s">
        <v>25</v>
      </c>
      <c r="N9" t="s">
        <v>26</v>
      </c>
      <c r="O9" t="s">
        <v>46</v>
      </c>
      <c r="P9">
        <v>200</v>
      </c>
      <c r="Q9" t="s">
        <v>28</v>
      </c>
      <c r="R9" t="str">
        <f t="shared" si="0"/>
        <v>Flow ControlNippleNipple R Landing3.560.510Generic15/16-1015/16-10Vam BoxVam PinL-80SteelSteel</v>
      </c>
      <c r="S9" t="s">
        <v>29</v>
      </c>
      <c r="T9" t="s">
        <v>29</v>
      </c>
    </row>
    <row r="10" spans="1:20" x14ac:dyDescent="0.2">
      <c r="A10">
        <f t="shared" si="1"/>
        <v>9</v>
      </c>
      <c r="B10" t="s">
        <v>20</v>
      </c>
      <c r="C10" t="s">
        <v>47</v>
      </c>
      <c r="D10" t="s">
        <v>48</v>
      </c>
      <c r="E10" s="1">
        <v>3.56</v>
      </c>
      <c r="F10" s="2">
        <v>0</v>
      </c>
      <c r="G10" s="1">
        <v>0.5</v>
      </c>
      <c r="H10">
        <v>10</v>
      </c>
      <c r="I10" t="s">
        <v>32</v>
      </c>
      <c r="J10" t="s">
        <v>23</v>
      </c>
      <c r="K10" t="s">
        <v>23</v>
      </c>
      <c r="L10" t="s">
        <v>24</v>
      </c>
      <c r="M10" t="s">
        <v>25</v>
      </c>
      <c r="N10" t="s">
        <v>26</v>
      </c>
      <c r="O10" t="s">
        <v>49</v>
      </c>
      <c r="P10">
        <v>200</v>
      </c>
      <c r="Q10" t="s">
        <v>28</v>
      </c>
      <c r="R10" t="str">
        <f t="shared" si="0"/>
        <v>Flow ControlSliding SleeveSSD Sliding Sleeve3.560.510Generic15/16-1015/16-10Vam BoxVam PinL-80SteelSteel</v>
      </c>
      <c r="S10" t="s">
        <v>29</v>
      </c>
      <c r="T10" t="s">
        <v>29</v>
      </c>
    </row>
    <row r="11" spans="1:20" x14ac:dyDescent="0.2">
      <c r="A11">
        <f t="shared" si="1"/>
        <v>10</v>
      </c>
      <c r="B11" t="s">
        <v>20</v>
      </c>
      <c r="C11" t="s">
        <v>50</v>
      </c>
      <c r="D11" t="s">
        <v>51</v>
      </c>
      <c r="E11" s="1">
        <v>3.56</v>
      </c>
      <c r="F11" s="2">
        <v>0</v>
      </c>
      <c r="G11" s="1">
        <v>0.5</v>
      </c>
      <c r="H11">
        <v>10</v>
      </c>
      <c r="I11" t="s">
        <v>32</v>
      </c>
      <c r="J11" t="s">
        <v>23</v>
      </c>
      <c r="K11" t="s">
        <v>23</v>
      </c>
      <c r="L11" t="s">
        <v>24</v>
      </c>
      <c r="M11" t="s">
        <v>25</v>
      </c>
      <c r="N11" t="s">
        <v>26</v>
      </c>
      <c r="O11" t="s">
        <v>52</v>
      </c>
      <c r="P11">
        <v>200</v>
      </c>
      <c r="Q11" t="s">
        <v>28</v>
      </c>
      <c r="R11" t="str">
        <f t="shared" si="0"/>
        <v>Flow ControlTRSSSVTRSSSV SP3.560.510Generic15/16-1015/16-10Vam BoxVam PinL-80SteelSteel</v>
      </c>
      <c r="S11" t="s">
        <v>29</v>
      </c>
      <c r="T11" t="s">
        <v>29</v>
      </c>
    </row>
    <row r="12" spans="1:20" x14ac:dyDescent="0.2">
      <c r="A12">
        <f t="shared" si="1"/>
        <v>11</v>
      </c>
      <c r="B12" t="s">
        <v>20</v>
      </c>
      <c r="C12" t="s">
        <v>50</v>
      </c>
      <c r="D12" t="s">
        <v>53</v>
      </c>
      <c r="E12" s="1">
        <v>3.56</v>
      </c>
      <c r="F12" s="2">
        <v>0</v>
      </c>
      <c r="G12" s="1">
        <v>0.5</v>
      </c>
      <c r="H12">
        <v>10</v>
      </c>
      <c r="I12" t="s">
        <v>32</v>
      </c>
      <c r="J12" t="s">
        <v>23</v>
      </c>
      <c r="K12" t="s">
        <v>23</v>
      </c>
      <c r="L12" t="s">
        <v>24</v>
      </c>
      <c r="M12" t="s">
        <v>25</v>
      </c>
      <c r="N12" t="s">
        <v>26</v>
      </c>
      <c r="O12" t="s">
        <v>54</v>
      </c>
      <c r="P12">
        <v>200</v>
      </c>
      <c r="Q12" t="s">
        <v>28</v>
      </c>
      <c r="R12" t="str">
        <f t="shared" si="0"/>
        <v>Flow ControlTRSSSVTRSSSV BALL3.560.510Generic15/16-1015/16-10Vam BoxVam PinL-80SteelSteel</v>
      </c>
      <c r="S12" t="s">
        <v>29</v>
      </c>
      <c r="T12" t="s">
        <v>29</v>
      </c>
    </row>
    <row r="13" spans="1:20" x14ac:dyDescent="0.2">
      <c r="A13">
        <f t="shared" si="1"/>
        <v>12</v>
      </c>
      <c r="B13" t="s">
        <v>20</v>
      </c>
      <c r="C13" t="s">
        <v>50</v>
      </c>
      <c r="D13" t="s">
        <v>55</v>
      </c>
      <c r="E13" s="1">
        <v>3.56</v>
      </c>
      <c r="F13" s="2">
        <v>0</v>
      </c>
      <c r="G13" s="1">
        <v>0.5</v>
      </c>
      <c r="H13">
        <v>10</v>
      </c>
      <c r="I13" t="s">
        <v>32</v>
      </c>
      <c r="J13" t="s">
        <v>23</v>
      </c>
      <c r="K13" t="s">
        <v>23</v>
      </c>
      <c r="L13" t="s">
        <v>24</v>
      </c>
      <c r="M13" t="s">
        <v>25</v>
      </c>
      <c r="N13" t="s">
        <v>26</v>
      </c>
      <c r="O13" t="s">
        <v>56</v>
      </c>
      <c r="P13">
        <v>200</v>
      </c>
      <c r="Q13" t="s">
        <v>28</v>
      </c>
      <c r="R13" t="str">
        <f t="shared" si="0"/>
        <v>Flow ControlTRSSSVTRSSSV FLAPPER3.560.510Generic15/16-1015/16-10Vam BoxVam PinL-80SteelSteel</v>
      </c>
      <c r="S13" t="s">
        <v>29</v>
      </c>
      <c r="T13" t="s">
        <v>29</v>
      </c>
    </row>
    <row r="14" spans="1:20" x14ac:dyDescent="0.2">
      <c r="A14">
        <f t="shared" si="1"/>
        <v>13</v>
      </c>
      <c r="B14" t="s">
        <v>20</v>
      </c>
      <c r="C14" t="s">
        <v>47</v>
      </c>
      <c r="D14" t="s">
        <v>48</v>
      </c>
      <c r="E14" s="1">
        <v>4.5</v>
      </c>
      <c r="F14" s="2">
        <v>3.6880000000000002</v>
      </c>
      <c r="G14" s="1">
        <v>0.5</v>
      </c>
      <c r="H14">
        <v>5</v>
      </c>
      <c r="I14" t="s">
        <v>22</v>
      </c>
      <c r="J14" t="s">
        <v>23</v>
      </c>
      <c r="K14" t="s">
        <v>57</v>
      </c>
      <c r="L14" t="s">
        <v>24</v>
      </c>
      <c r="M14" t="s">
        <v>25</v>
      </c>
      <c r="N14" t="s">
        <v>26</v>
      </c>
      <c r="O14" t="s">
        <v>49</v>
      </c>
      <c r="P14">
        <v>200</v>
      </c>
      <c r="Q14" t="s">
        <v>28</v>
      </c>
      <c r="R14" t="str">
        <f t="shared" si="0"/>
        <v>Flow ControlSliding SleeveSSD Sliding Sleeve4.50.55Baker Hughes15/16-101 1/16-10Vam BoxVam PinL-80Ironhead</v>
      </c>
      <c r="S14" t="s">
        <v>59</v>
      </c>
      <c r="T14" t="s">
        <v>60</v>
      </c>
    </row>
    <row r="15" spans="1:20" x14ac:dyDescent="0.2">
      <c r="A15">
        <f t="shared" si="1"/>
        <v>14</v>
      </c>
      <c r="B15" t="s">
        <v>20</v>
      </c>
      <c r="C15" t="s">
        <v>47</v>
      </c>
      <c r="D15" t="s">
        <v>48</v>
      </c>
      <c r="E15" s="1">
        <v>4.5</v>
      </c>
      <c r="F15" s="2">
        <v>3.6880000000000002</v>
      </c>
      <c r="G15" s="1">
        <v>0.5</v>
      </c>
      <c r="H15">
        <v>5</v>
      </c>
      <c r="I15" t="s">
        <v>22</v>
      </c>
      <c r="J15" t="s">
        <v>23</v>
      </c>
      <c r="K15" t="s">
        <v>57</v>
      </c>
      <c r="L15" t="s">
        <v>24</v>
      </c>
      <c r="M15" t="s">
        <v>25</v>
      </c>
      <c r="N15" t="s">
        <v>26</v>
      </c>
      <c r="O15" t="s">
        <v>49</v>
      </c>
      <c r="P15">
        <v>200</v>
      </c>
      <c r="Q15" t="s">
        <v>28</v>
      </c>
      <c r="R15" t="str">
        <f t="shared" si="0"/>
        <v>Flow ControlSliding SleeveSSD Sliding Sleeve4.50.55Baker Hughes15/16-101 1/16-10Vam BoxVam PinL-80Ironhead</v>
      </c>
      <c r="S15" t="s">
        <v>59</v>
      </c>
      <c r="T15" t="s">
        <v>60</v>
      </c>
    </row>
    <row r="16" spans="1:20" x14ac:dyDescent="0.2">
      <c r="A16">
        <f t="shared" si="1"/>
        <v>15</v>
      </c>
      <c r="B16" t="s">
        <v>20</v>
      </c>
      <c r="C16" t="s">
        <v>61</v>
      </c>
      <c r="D16" t="s">
        <v>62</v>
      </c>
      <c r="E16" s="1">
        <v>4.5</v>
      </c>
      <c r="F16" s="2">
        <v>3.6880000000000002</v>
      </c>
      <c r="G16" s="1">
        <v>5</v>
      </c>
      <c r="H16">
        <v>20</v>
      </c>
      <c r="I16" t="s">
        <v>22</v>
      </c>
      <c r="J16" t="s">
        <v>63</v>
      </c>
      <c r="K16" t="s">
        <v>64</v>
      </c>
      <c r="L16" t="s">
        <v>24</v>
      </c>
      <c r="M16" t="s">
        <v>25</v>
      </c>
      <c r="N16" t="s">
        <v>65</v>
      </c>
      <c r="O16" t="s">
        <v>116</v>
      </c>
      <c r="P16">
        <v>200</v>
      </c>
      <c r="Q16" t="s">
        <v>28</v>
      </c>
      <c r="R16" t="str">
        <f t="shared" si="0"/>
        <v>Flow ControlScreenBaker Screen4.5520Baker Hughes3-1/8"2-7/8"Vam BoxVam PinCR-13Ironhead</v>
      </c>
      <c r="S16" t="s">
        <v>59</v>
      </c>
      <c r="T16" t="s">
        <v>60</v>
      </c>
    </row>
    <row r="17" spans="1:20" x14ac:dyDescent="0.2">
      <c r="A17">
        <f t="shared" si="1"/>
        <v>16</v>
      </c>
      <c r="B17" t="s">
        <v>20</v>
      </c>
      <c r="C17" t="s">
        <v>66</v>
      </c>
      <c r="D17" t="s">
        <v>67</v>
      </c>
      <c r="E17" s="1">
        <v>4.5</v>
      </c>
      <c r="F17" s="2">
        <v>3.6880000000000002</v>
      </c>
      <c r="G17" s="1">
        <v>3</v>
      </c>
      <c r="H17">
        <v>20</v>
      </c>
      <c r="I17" t="s">
        <v>22</v>
      </c>
      <c r="J17" t="s">
        <v>63</v>
      </c>
      <c r="K17" t="s">
        <v>64</v>
      </c>
      <c r="L17" t="s">
        <v>24</v>
      </c>
      <c r="M17" t="s">
        <v>25</v>
      </c>
      <c r="N17" t="s">
        <v>65</v>
      </c>
      <c r="O17" t="s">
        <v>35</v>
      </c>
      <c r="P17">
        <v>200</v>
      </c>
      <c r="Q17" t="s">
        <v>28</v>
      </c>
      <c r="R17" t="str">
        <f t="shared" si="0"/>
        <v>Flow ControlPup JointFlow Control Pup - Upper4.5320Baker Hughes3-1/8"2-7/8"Vam BoxVam PinCR-13Ironhead</v>
      </c>
      <c r="S17" t="s">
        <v>59</v>
      </c>
      <c r="T17" t="s">
        <v>60</v>
      </c>
    </row>
    <row r="18" spans="1:20" x14ac:dyDescent="0.2">
      <c r="A18">
        <f t="shared" si="1"/>
        <v>17</v>
      </c>
      <c r="B18" t="s">
        <v>20</v>
      </c>
      <c r="C18" t="s">
        <v>66</v>
      </c>
      <c r="D18" t="s">
        <v>68</v>
      </c>
      <c r="E18" s="1">
        <v>4.5</v>
      </c>
      <c r="F18" s="2">
        <v>3.6880000000000002</v>
      </c>
      <c r="G18" s="1">
        <v>3</v>
      </c>
      <c r="H18">
        <v>20</v>
      </c>
      <c r="I18" t="s">
        <v>22</v>
      </c>
      <c r="J18" t="s">
        <v>63</v>
      </c>
      <c r="K18" t="s">
        <v>64</v>
      </c>
      <c r="L18" t="s">
        <v>24</v>
      </c>
      <c r="M18" t="s">
        <v>25</v>
      </c>
      <c r="N18" t="s">
        <v>65</v>
      </c>
      <c r="O18" t="s">
        <v>35</v>
      </c>
      <c r="P18">
        <v>200</v>
      </c>
      <c r="Q18" t="s">
        <v>28</v>
      </c>
      <c r="R18" t="str">
        <f t="shared" si="0"/>
        <v>Flow ControlPup JointFlow Control Pup - Lower4.5320Baker Hughes3-1/8"2-7/8"Vam BoxVam PinCR-13Ironhead</v>
      </c>
      <c r="S18" t="s">
        <v>59</v>
      </c>
      <c r="T18" t="s">
        <v>60</v>
      </c>
    </row>
    <row r="19" spans="1:20" x14ac:dyDescent="0.2">
      <c r="A19">
        <f t="shared" si="1"/>
        <v>18</v>
      </c>
      <c r="B19" t="s">
        <v>20</v>
      </c>
      <c r="C19" t="s">
        <v>69</v>
      </c>
      <c r="D19" t="s">
        <v>21</v>
      </c>
      <c r="E19" s="1">
        <v>4.5</v>
      </c>
      <c r="F19" s="2">
        <v>3.6880000000000002</v>
      </c>
      <c r="G19" s="1">
        <v>3</v>
      </c>
      <c r="H19">
        <v>20</v>
      </c>
      <c r="I19" t="s">
        <v>22</v>
      </c>
      <c r="J19" t="s">
        <v>63</v>
      </c>
      <c r="K19" t="s">
        <v>64</v>
      </c>
      <c r="L19" t="s">
        <v>24</v>
      </c>
      <c r="M19" t="s">
        <v>25</v>
      </c>
      <c r="N19" t="s">
        <v>65</v>
      </c>
      <c r="O19" t="s">
        <v>27</v>
      </c>
      <c r="P19">
        <v>200</v>
      </c>
      <c r="Q19" t="s">
        <v>28</v>
      </c>
      <c r="R19" t="str">
        <f t="shared" si="0"/>
        <v>Flow ControlCouplingFlow Coupling4.5320Baker Hughes3-1/8"2-7/8"Vam BoxVam PinCR-13Ironhead</v>
      </c>
      <c r="S19" t="s">
        <v>59</v>
      </c>
      <c r="T19" t="s">
        <v>60</v>
      </c>
    </row>
    <row r="20" spans="1:20" x14ac:dyDescent="0.2">
      <c r="A20">
        <f t="shared" si="1"/>
        <v>19</v>
      </c>
      <c r="B20" t="s">
        <v>70</v>
      </c>
      <c r="C20" t="s">
        <v>71</v>
      </c>
      <c r="D20" t="s">
        <v>72</v>
      </c>
      <c r="E20" s="1">
        <v>8.2100000000000009</v>
      </c>
      <c r="F20" s="2">
        <v>6.78</v>
      </c>
      <c r="G20" s="1">
        <v>5.7</v>
      </c>
      <c r="H20">
        <v>2000</v>
      </c>
      <c r="I20" t="s">
        <v>73</v>
      </c>
      <c r="J20" t="s">
        <v>23</v>
      </c>
      <c r="K20" t="s">
        <v>57</v>
      </c>
      <c r="L20" t="s">
        <v>74</v>
      </c>
      <c r="M20" t="s">
        <v>75</v>
      </c>
      <c r="N20" t="s">
        <v>26</v>
      </c>
      <c r="O20" t="s">
        <v>159</v>
      </c>
      <c r="P20">
        <v>150</v>
      </c>
      <c r="Q20" t="s">
        <v>28</v>
      </c>
      <c r="R20" t="str">
        <f t="shared" si="0"/>
        <v>HangerLiner HangerMy Liner Hanger8.215.72000Halliburton15/16-101 1/16-10Eue BoxEue PinL-80HES Versaflexhead</v>
      </c>
      <c r="S20" t="s">
        <v>76</v>
      </c>
      <c r="T20" t="s">
        <v>60</v>
      </c>
    </row>
    <row r="21" spans="1:20" x14ac:dyDescent="0.2">
      <c r="A21">
        <f t="shared" si="1"/>
        <v>20</v>
      </c>
      <c r="B21" t="s">
        <v>70</v>
      </c>
      <c r="C21" t="s">
        <v>71</v>
      </c>
      <c r="D21" t="s">
        <v>77</v>
      </c>
      <c r="E21" s="1">
        <v>7.5</v>
      </c>
      <c r="F21" s="2">
        <v>6</v>
      </c>
      <c r="G21" s="1">
        <v>5</v>
      </c>
      <c r="H21">
        <v>2000</v>
      </c>
      <c r="I21" t="s">
        <v>78</v>
      </c>
      <c r="J21" t="s">
        <v>23</v>
      </c>
      <c r="K21" t="s">
        <v>57</v>
      </c>
      <c r="L21" t="s">
        <v>24</v>
      </c>
      <c r="M21" t="s">
        <v>25</v>
      </c>
      <c r="N21" t="s">
        <v>26</v>
      </c>
      <c r="O21" t="s">
        <v>159</v>
      </c>
      <c r="P21">
        <v>200</v>
      </c>
      <c r="Q21" t="s">
        <v>28</v>
      </c>
      <c r="R21" t="str">
        <f t="shared" si="0"/>
        <v>HangerLiner HangerYour Liner Hanger7.552000Schlumberger15/16-101 1/16-10Vam BoxVam PinL-80Compositehead</v>
      </c>
      <c r="S21" t="s">
        <v>79</v>
      </c>
      <c r="T21" t="s">
        <v>60</v>
      </c>
    </row>
    <row r="22" spans="1:20" x14ac:dyDescent="0.2">
      <c r="A22">
        <f t="shared" si="1"/>
        <v>21</v>
      </c>
      <c r="B22" t="s">
        <v>70</v>
      </c>
      <c r="C22" t="s">
        <v>71</v>
      </c>
      <c r="D22" t="s">
        <v>80</v>
      </c>
      <c r="E22" s="1">
        <v>8</v>
      </c>
      <c r="F22" s="2">
        <v>6</v>
      </c>
      <c r="G22" s="1">
        <v>6</v>
      </c>
      <c r="H22">
        <v>2000</v>
      </c>
      <c r="I22" t="s">
        <v>73</v>
      </c>
      <c r="J22" t="s">
        <v>23</v>
      </c>
      <c r="K22" t="s">
        <v>57</v>
      </c>
      <c r="L22" t="s">
        <v>24</v>
      </c>
      <c r="M22" t="s">
        <v>25</v>
      </c>
      <c r="N22" t="s">
        <v>26</v>
      </c>
      <c r="O22" t="s">
        <v>159</v>
      </c>
      <c r="P22">
        <v>200</v>
      </c>
      <c r="Q22" t="s">
        <v>28</v>
      </c>
      <c r="R22" t="str">
        <f t="shared" si="0"/>
        <v>HangerLiner HangerHis Liner Hanger862000Halliburton15/16-101 1/16-10Vam BoxVam PinL-80Compositehead</v>
      </c>
      <c r="S22" t="s">
        <v>79</v>
      </c>
      <c r="T22" t="s">
        <v>60</v>
      </c>
    </row>
    <row r="23" spans="1:20" x14ac:dyDescent="0.2">
      <c r="A23">
        <f t="shared" si="1"/>
        <v>22</v>
      </c>
      <c r="B23" t="s">
        <v>70</v>
      </c>
      <c r="C23" t="s">
        <v>71</v>
      </c>
      <c r="D23" t="s">
        <v>81</v>
      </c>
      <c r="E23" s="1">
        <v>8.6</v>
      </c>
      <c r="F23" s="2">
        <v>6</v>
      </c>
      <c r="G23" s="1">
        <v>4</v>
      </c>
      <c r="H23">
        <v>2000</v>
      </c>
      <c r="I23" t="s">
        <v>82</v>
      </c>
      <c r="J23" t="s">
        <v>23</v>
      </c>
      <c r="K23" t="s">
        <v>57</v>
      </c>
      <c r="L23" t="s">
        <v>74</v>
      </c>
      <c r="M23" t="s">
        <v>75</v>
      </c>
      <c r="N23" t="s">
        <v>26</v>
      </c>
      <c r="O23" t="s">
        <v>159</v>
      </c>
      <c r="P23">
        <v>200</v>
      </c>
      <c r="Q23" t="s">
        <v>28</v>
      </c>
      <c r="R23" t="str">
        <f t="shared" si="0"/>
        <v>HangerLiner HangerTheir Liner Hanger8.642000Weatherford15/16-101 1/16-10Eue BoxEue PinL-80Ironhead</v>
      </c>
      <c r="S23" t="s">
        <v>59</v>
      </c>
      <c r="T23" t="s">
        <v>60</v>
      </c>
    </row>
    <row r="24" spans="1:20" x14ac:dyDescent="0.2">
      <c r="A24">
        <f t="shared" si="1"/>
        <v>23</v>
      </c>
      <c r="B24" t="s">
        <v>70</v>
      </c>
      <c r="C24" t="s">
        <v>71</v>
      </c>
      <c r="D24" t="s">
        <v>83</v>
      </c>
      <c r="E24" s="1">
        <v>7.1</v>
      </c>
      <c r="F24" s="2">
        <v>5</v>
      </c>
      <c r="G24" s="1">
        <v>8</v>
      </c>
      <c r="H24">
        <v>2000</v>
      </c>
      <c r="I24" t="s">
        <v>84</v>
      </c>
      <c r="J24" t="s">
        <v>23</v>
      </c>
      <c r="K24" t="s">
        <v>57</v>
      </c>
      <c r="L24" t="s">
        <v>24</v>
      </c>
      <c r="M24" t="s">
        <v>25</v>
      </c>
      <c r="N24" t="s">
        <v>26</v>
      </c>
      <c r="O24" t="s">
        <v>159</v>
      </c>
      <c r="P24">
        <v>200</v>
      </c>
      <c r="Q24" t="s">
        <v>28</v>
      </c>
      <c r="R24" t="str">
        <f t="shared" si="0"/>
        <v>HangerLiner HangerBaker Liner Hanger7.182000Superior15/16-101 1/16-10Vam BoxVam PinL-80Linerhead</v>
      </c>
      <c r="S24" t="s">
        <v>85</v>
      </c>
      <c r="T24" t="s">
        <v>60</v>
      </c>
    </row>
    <row r="25" spans="1:20" x14ac:dyDescent="0.2">
      <c r="A25">
        <f t="shared" si="1"/>
        <v>24</v>
      </c>
      <c r="B25" t="s">
        <v>86</v>
      </c>
      <c r="C25" t="s">
        <v>87</v>
      </c>
      <c r="D25" t="s">
        <v>88</v>
      </c>
      <c r="E25" s="1">
        <v>3.56</v>
      </c>
      <c r="F25" s="2">
        <v>0</v>
      </c>
      <c r="G25" s="1">
        <v>0.5</v>
      </c>
      <c r="H25">
        <v>10</v>
      </c>
      <c r="I25" t="s">
        <v>32</v>
      </c>
      <c r="J25" t="s">
        <v>23</v>
      </c>
      <c r="K25" t="s">
        <v>23</v>
      </c>
      <c r="L25" t="s">
        <v>24</v>
      </c>
      <c r="M25" t="s">
        <v>25</v>
      </c>
      <c r="N25" t="s">
        <v>26</v>
      </c>
      <c r="O25" t="s">
        <v>89</v>
      </c>
      <c r="P25">
        <v>200</v>
      </c>
      <c r="Q25" t="s">
        <v>28</v>
      </c>
      <c r="R25" t="str">
        <f t="shared" si="0"/>
        <v>MiscellaneousShoeBell Guide3.560.510Generic15/16-1015/16-10Vam BoxVam PinL-80SteelSteel</v>
      </c>
      <c r="S25" t="s">
        <v>29</v>
      </c>
      <c r="T25" t="s">
        <v>29</v>
      </c>
    </row>
    <row r="26" spans="1:20" x14ac:dyDescent="0.2">
      <c r="A26">
        <f t="shared" si="1"/>
        <v>25</v>
      </c>
      <c r="B26" t="s">
        <v>86</v>
      </c>
      <c r="C26" t="s">
        <v>90</v>
      </c>
      <c r="D26" t="s">
        <v>90</v>
      </c>
      <c r="E26" s="1">
        <v>3.56</v>
      </c>
      <c r="F26" s="2">
        <v>0</v>
      </c>
      <c r="G26" s="1">
        <v>0.5</v>
      </c>
      <c r="H26">
        <v>10</v>
      </c>
      <c r="I26" t="s">
        <v>32</v>
      </c>
      <c r="J26" t="s">
        <v>23</v>
      </c>
      <c r="K26" t="s">
        <v>23</v>
      </c>
      <c r="L26" t="s">
        <v>24</v>
      </c>
      <c r="M26" t="s">
        <v>25</v>
      </c>
      <c r="N26" t="s">
        <v>26</v>
      </c>
      <c r="O26" t="s">
        <v>91</v>
      </c>
      <c r="P26">
        <v>200</v>
      </c>
      <c r="Q26" t="s">
        <v>28</v>
      </c>
      <c r="R26" t="str">
        <f t="shared" si="0"/>
        <v>MiscellaneousCrossoverCrossover3.560.510Generic15/16-1015/16-10Vam BoxVam PinL-80SteelSteel</v>
      </c>
      <c r="S26" t="s">
        <v>29</v>
      </c>
      <c r="T26" t="s">
        <v>29</v>
      </c>
    </row>
    <row r="27" spans="1:20" x14ac:dyDescent="0.2">
      <c r="A27">
        <f t="shared" si="1"/>
        <v>26</v>
      </c>
      <c r="B27" t="s">
        <v>86</v>
      </c>
      <c r="C27" t="s">
        <v>92</v>
      </c>
      <c r="D27" t="s">
        <v>93</v>
      </c>
      <c r="E27" s="1">
        <v>3.56</v>
      </c>
      <c r="F27" s="2">
        <v>0</v>
      </c>
      <c r="G27" s="1">
        <v>0.5</v>
      </c>
      <c r="H27">
        <v>10</v>
      </c>
      <c r="I27" t="s">
        <v>32</v>
      </c>
      <c r="J27" t="s">
        <v>23</v>
      </c>
      <c r="K27" t="s">
        <v>23</v>
      </c>
      <c r="L27" t="s">
        <v>24</v>
      </c>
      <c r="M27" t="s">
        <v>25</v>
      </c>
      <c r="N27" t="s">
        <v>26</v>
      </c>
      <c r="O27" t="s">
        <v>94</v>
      </c>
      <c r="P27">
        <v>200</v>
      </c>
      <c r="Q27" t="s">
        <v>28</v>
      </c>
      <c r="R27" t="str">
        <f t="shared" si="0"/>
        <v>MiscellaneousJointExpansion Joint3.560.510Generic15/16-1015/16-10Vam BoxVam PinL-80SteelSteel</v>
      </c>
      <c r="S27" t="s">
        <v>29</v>
      </c>
      <c r="T27" t="s">
        <v>29</v>
      </c>
    </row>
    <row r="28" spans="1:20" x14ac:dyDescent="0.2">
      <c r="A28">
        <f t="shared" si="1"/>
        <v>27</v>
      </c>
      <c r="B28" t="s">
        <v>86</v>
      </c>
      <c r="C28" t="s">
        <v>95</v>
      </c>
      <c r="D28" t="s">
        <v>96</v>
      </c>
      <c r="E28" s="1">
        <v>3.56</v>
      </c>
      <c r="F28" s="2">
        <v>0</v>
      </c>
      <c r="G28" s="1">
        <v>0.5</v>
      </c>
      <c r="H28">
        <v>10</v>
      </c>
      <c r="I28" t="s">
        <v>32</v>
      </c>
      <c r="J28" t="s">
        <v>23</v>
      </c>
      <c r="K28" t="s">
        <v>23</v>
      </c>
      <c r="L28" t="s">
        <v>24</v>
      </c>
      <c r="M28" t="s">
        <v>25</v>
      </c>
      <c r="N28" t="s">
        <v>26</v>
      </c>
      <c r="O28" t="s">
        <v>97</v>
      </c>
      <c r="P28">
        <v>200</v>
      </c>
      <c r="Q28" t="s">
        <v>28</v>
      </c>
      <c r="R28" t="str">
        <f t="shared" si="0"/>
        <v>MiscellaneousGas LiftGas Lift Mandrel3.560.510Generic15/16-1015/16-10Vam BoxVam PinL-80SteelSteel</v>
      </c>
      <c r="S28" t="s">
        <v>29</v>
      </c>
      <c r="T28" t="s">
        <v>29</v>
      </c>
    </row>
    <row r="29" spans="1:20" x14ac:dyDescent="0.2">
      <c r="A29">
        <f t="shared" si="1"/>
        <v>28</v>
      </c>
      <c r="B29" t="s">
        <v>86</v>
      </c>
      <c r="C29" t="s">
        <v>98</v>
      </c>
      <c r="D29" t="s">
        <v>99</v>
      </c>
      <c r="E29" s="1">
        <v>3.56</v>
      </c>
      <c r="F29" s="2">
        <v>0</v>
      </c>
      <c r="G29" s="1">
        <v>0.5</v>
      </c>
      <c r="H29">
        <v>10</v>
      </c>
      <c r="I29" t="s">
        <v>32</v>
      </c>
      <c r="J29" t="s">
        <v>23</v>
      </c>
      <c r="K29" t="s">
        <v>23</v>
      </c>
      <c r="L29" t="s">
        <v>24</v>
      </c>
      <c r="M29" t="s">
        <v>25</v>
      </c>
      <c r="N29" t="s">
        <v>26</v>
      </c>
      <c r="O29" t="s">
        <v>100</v>
      </c>
      <c r="P29">
        <v>200</v>
      </c>
      <c r="Q29" t="s">
        <v>28</v>
      </c>
      <c r="R29" t="str">
        <f t="shared" si="0"/>
        <v>MiscellaneousMandrelGauge Mandrel3.560.510Generic15/16-1015/16-10Vam BoxVam PinL-80SteelSteel</v>
      </c>
      <c r="S29" t="s">
        <v>29</v>
      </c>
      <c r="T29" t="s">
        <v>29</v>
      </c>
    </row>
    <row r="30" spans="1:20" x14ac:dyDescent="0.2">
      <c r="A30">
        <f t="shared" si="1"/>
        <v>29</v>
      </c>
      <c r="B30" t="s">
        <v>86</v>
      </c>
      <c r="C30" t="s">
        <v>87</v>
      </c>
      <c r="D30" t="s">
        <v>101</v>
      </c>
      <c r="E30" s="1">
        <v>3.56</v>
      </c>
      <c r="F30" s="2">
        <v>0</v>
      </c>
      <c r="G30" s="1">
        <v>0.5</v>
      </c>
      <c r="H30">
        <v>10</v>
      </c>
      <c r="I30" t="s">
        <v>32</v>
      </c>
      <c r="J30" t="s">
        <v>23</v>
      </c>
      <c r="K30" t="s">
        <v>23</v>
      </c>
      <c r="L30" t="s">
        <v>24</v>
      </c>
      <c r="M30" t="s">
        <v>25</v>
      </c>
      <c r="N30" t="s">
        <v>26</v>
      </c>
      <c r="O30" t="s">
        <v>102</v>
      </c>
      <c r="P30">
        <v>200</v>
      </c>
      <c r="Q30" t="s">
        <v>28</v>
      </c>
      <c r="R30" t="str">
        <f t="shared" si="0"/>
        <v>MiscellaneousShoeMule Shoe Reciprocating3.560.510Generic15/16-1015/16-10Vam BoxVam PinL-80SteelSteel</v>
      </c>
      <c r="S30" t="s">
        <v>29</v>
      </c>
      <c r="T30" t="s">
        <v>29</v>
      </c>
    </row>
    <row r="31" spans="1:20" x14ac:dyDescent="0.2">
      <c r="A31">
        <f t="shared" si="1"/>
        <v>30</v>
      </c>
      <c r="B31" t="s">
        <v>86</v>
      </c>
      <c r="C31" t="s">
        <v>87</v>
      </c>
      <c r="D31" t="s">
        <v>103</v>
      </c>
      <c r="E31" s="1">
        <v>3.56</v>
      </c>
      <c r="F31" s="2">
        <v>0</v>
      </c>
      <c r="G31" s="1">
        <v>0.5</v>
      </c>
      <c r="H31">
        <v>10</v>
      </c>
      <c r="I31" t="s">
        <v>32</v>
      </c>
      <c r="J31" t="s">
        <v>23</v>
      </c>
      <c r="K31" t="s">
        <v>23</v>
      </c>
      <c r="L31" t="s">
        <v>24</v>
      </c>
      <c r="M31" t="s">
        <v>25</v>
      </c>
      <c r="N31" t="s">
        <v>26</v>
      </c>
      <c r="O31" t="s">
        <v>104</v>
      </c>
      <c r="P31">
        <v>200</v>
      </c>
      <c r="Q31" t="s">
        <v>28</v>
      </c>
      <c r="R31" t="str">
        <f t="shared" si="0"/>
        <v>MiscellaneousShoeMule Shoe Shearable3.560.510Generic15/16-1015/16-10Vam BoxVam PinL-80SteelSteel</v>
      </c>
      <c r="S31" t="s">
        <v>29</v>
      </c>
      <c r="T31" t="s">
        <v>29</v>
      </c>
    </row>
    <row r="32" spans="1:20" x14ac:dyDescent="0.2">
      <c r="A32">
        <f t="shared" si="1"/>
        <v>31</v>
      </c>
      <c r="B32" t="s">
        <v>86</v>
      </c>
      <c r="C32" t="s">
        <v>87</v>
      </c>
      <c r="D32" t="s">
        <v>105</v>
      </c>
      <c r="E32" s="1">
        <v>3.56</v>
      </c>
      <c r="F32" s="2">
        <v>0</v>
      </c>
      <c r="G32" s="1">
        <v>0.5</v>
      </c>
      <c r="H32">
        <v>10</v>
      </c>
      <c r="I32" t="s">
        <v>32</v>
      </c>
      <c r="J32" t="s">
        <v>23</v>
      </c>
      <c r="K32" t="s">
        <v>23</v>
      </c>
      <c r="L32" t="s">
        <v>24</v>
      </c>
      <c r="M32" t="s">
        <v>25</v>
      </c>
      <c r="N32" t="s">
        <v>26</v>
      </c>
      <c r="O32" t="s">
        <v>106</v>
      </c>
      <c r="P32">
        <v>200</v>
      </c>
      <c r="Q32" t="s">
        <v>28</v>
      </c>
      <c r="R32" t="str">
        <f t="shared" si="0"/>
        <v>MiscellaneousShoeMule Shoe3.560.510Generic15/16-1015/16-10Vam BoxVam PinL-80SteelSteel</v>
      </c>
      <c r="S32" t="s">
        <v>29</v>
      </c>
      <c r="T32" t="s">
        <v>29</v>
      </c>
    </row>
    <row r="33" spans="1:20" x14ac:dyDescent="0.2">
      <c r="A33">
        <f t="shared" si="1"/>
        <v>32</v>
      </c>
      <c r="B33" t="s">
        <v>86</v>
      </c>
      <c r="C33" t="s">
        <v>92</v>
      </c>
      <c r="D33" t="s">
        <v>107</v>
      </c>
      <c r="E33" s="1">
        <v>3.56</v>
      </c>
      <c r="F33" s="2">
        <v>0</v>
      </c>
      <c r="G33" s="1">
        <v>0.5</v>
      </c>
      <c r="H33">
        <v>10</v>
      </c>
      <c r="I33" t="s">
        <v>32</v>
      </c>
      <c r="J33" t="s">
        <v>23</v>
      </c>
      <c r="K33" t="s">
        <v>23</v>
      </c>
      <c r="L33" t="s">
        <v>24</v>
      </c>
      <c r="M33" t="s">
        <v>25</v>
      </c>
      <c r="N33" t="s">
        <v>26</v>
      </c>
      <c r="O33" t="s">
        <v>108</v>
      </c>
      <c r="P33">
        <v>200</v>
      </c>
      <c r="Q33" t="s">
        <v>28</v>
      </c>
      <c r="R33" t="str">
        <f t="shared" si="0"/>
        <v>MiscellaneousJointPerforated Pup Joint3.560.510Generic15/16-1015/16-10Vam BoxVam PinL-80SteelSteel</v>
      </c>
      <c r="S33" t="s">
        <v>29</v>
      </c>
      <c r="T33" t="s">
        <v>29</v>
      </c>
    </row>
    <row r="34" spans="1:20" x14ac:dyDescent="0.2">
      <c r="A34">
        <f t="shared" si="1"/>
        <v>33</v>
      </c>
      <c r="B34" t="s">
        <v>86</v>
      </c>
      <c r="C34" t="s">
        <v>98</v>
      </c>
      <c r="D34" t="s">
        <v>109</v>
      </c>
      <c r="E34" s="1">
        <v>3.56</v>
      </c>
      <c r="F34" s="2">
        <v>0</v>
      </c>
      <c r="G34" s="1">
        <v>0.5</v>
      </c>
      <c r="H34">
        <v>10</v>
      </c>
      <c r="I34" t="s">
        <v>32</v>
      </c>
      <c r="J34" t="s">
        <v>23</v>
      </c>
      <c r="K34" t="s">
        <v>23</v>
      </c>
      <c r="L34" t="s">
        <v>24</v>
      </c>
      <c r="M34" t="s">
        <v>25</v>
      </c>
      <c r="N34" t="s">
        <v>26</v>
      </c>
      <c r="O34" t="s">
        <v>110</v>
      </c>
      <c r="P34">
        <v>200</v>
      </c>
      <c r="Q34" t="s">
        <v>28</v>
      </c>
      <c r="R34" t="str">
        <f t="shared" ref="R34:R57" si="2">B34&amp;C34&amp;D34&amp;E34&amp;G34&amp;H34&amp;I34&amp;J34&amp;K34&amp;L34&amp;M34&amp;N34&amp;S34&amp;T34</f>
        <v>MiscellaneousMandrelSide Pocket Mandrel3.560.510Generic15/16-1015/16-10Vam BoxVam PinL-80SteelSteel</v>
      </c>
      <c r="S34" t="s">
        <v>29</v>
      </c>
      <c r="T34" t="s">
        <v>29</v>
      </c>
    </row>
    <row r="35" spans="1:20" x14ac:dyDescent="0.2">
      <c r="A35">
        <f t="shared" si="1"/>
        <v>34</v>
      </c>
      <c r="B35" t="s">
        <v>86</v>
      </c>
      <c r="C35" t="s">
        <v>92</v>
      </c>
      <c r="D35" t="s">
        <v>111</v>
      </c>
      <c r="E35" s="1">
        <v>3.56</v>
      </c>
      <c r="F35" s="2">
        <v>0</v>
      </c>
      <c r="G35" s="1">
        <v>0.5</v>
      </c>
      <c r="H35">
        <v>10</v>
      </c>
      <c r="I35" t="s">
        <v>32</v>
      </c>
      <c r="J35" t="s">
        <v>23</v>
      </c>
      <c r="K35" t="s">
        <v>23</v>
      </c>
      <c r="L35" t="s">
        <v>24</v>
      </c>
      <c r="M35" t="s">
        <v>25</v>
      </c>
      <c r="N35" t="s">
        <v>26</v>
      </c>
      <c r="O35" t="s">
        <v>112</v>
      </c>
      <c r="P35">
        <v>200</v>
      </c>
      <c r="Q35" t="s">
        <v>28</v>
      </c>
      <c r="R35" t="str">
        <f t="shared" si="2"/>
        <v>MiscellaneousJointTravel Joint3.560.510Generic15/16-1015/16-10Vam BoxVam PinL-80SteelSteel</v>
      </c>
      <c r="S35" t="s">
        <v>29</v>
      </c>
      <c r="T35" t="s">
        <v>29</v>
      </c>
    </row>
    <row r="36" spans="1:20" x14ac:dyDescent="0.2">
      <c r="A36">
        <f t="shared" si="1"/>
        <v>35</v>
      </c>
      <c r="B36" t="s">
        <v>86</v>
      </c>
      <c r="C36" t="s">
        <v>92</v>
      </c>
      <c r="D36" t="s">
        <v>113</v>
      </c>
      <c r="E36" s="1">
        <v>3.56</v>
      </c>
      <c r="F36" s="2">
        <v>0</v>
      </c>
      <c r="G36" s="1">
        <v>5</v>
      </c>
      <c r="H36">
        <v>10</v>
      </c>
      <c r="I36" t="s">
        <v>32</v>
      </c>
      <c r="J36" t="s">
        <v>23</v>
      </c>
      <c r="K36" t="s">
        <v>23</v>
      </c>
      <c r="L36" t="s">
        <v>24</v>
      </c>
      <c r="M36" t="s">
        <v>25</v>
      </c>
      <c r="N36" t="s">
        <v>26</v>
      </c>
      <c r="O36" t="s">
        <v>114</v>
      </c>
      <c r="P36">
        <v>200</v>
      </c>
      <c r="Q36" t="s">
        <v>28</v>
      </c>
      <c r="R36" t="str">
        <f t="shared" si="2"/>
        <v>MiscellaneousJointTubing Pup Joint3.56510Generic15/16-1015/16-10Vam BoxVam PinL-80SteelSteel</v>
      </c>
      <c r="S36" t="s">
        <v>29</v>
      </c>
      <c r="T36" t="s">
        <v>29</v>
      </c>
    </row>
    <row r="37" spans="1:20" x14ac:dyDescent="0.2">
      <c r="A37">
        <f t="shared" si="1"/>
        <v>36</v>
      </c>
      <c r="B37" t="s">
        <v>86</v>
      </c>
      <c r="C37" t="s">
        <v>115</v>
      </c>
      <c r="D37" t="s">
        <v>115</v>
      </c>
      <c r="E37" s="1">
        <v>3.56</v>
      </c>
      <c r="F37" s="2">
        <v>0</v>
      </c>
      <c r="G37" s="1">
        <v>5</v>
      </c>
      <c r="H37">
        <v>10</v>
      </c>
      <c r="I37" t="s">
        <v>32</v>
      </c>
      <c r="J37" t="s">
        <v>23</v>
      </c>
      <c r="K37" t="s">
        <v>23</v>
      </c>
      <c r="L37" t="s">
        <v>24</v>
      </c>
      <c r="M37" t="s">
        <v>25</v>
      </c>
      <c r="N37" t="s">
        <v>26</v>
      </c>
      <c r="O37" t="s">
        <v>116</v>
      </c>
      <c r="P37">
        <v>200</v>
      </c>
      <c r="Q37" t="s">
        <v>28</v>
      </c>
      <c r="R37" t="str">
        <f t="shared" si="2"/>
        <v>MiscellaneousTubing JointsTubing Joints3.56510Generic15/16-1015/16-10Vam BoxVam PinL-80SteelSteel</v>
      </c>
      <c r="S37" t="s">
        <v>29</v>
      </c>
      <c r="T37" t="s">
        <v>29</v>
      </c>
    </row>
    <row r="38" spans="1:20" x14ac:dyDescent="0.2">
      <c r="A38">
        <f t="shared" si="1"/>
        <v>37</v>
      </c>
      <c r="B38" t="s">
        <v>86</v>
      </c>
      <c r="C38" t="s">
        <v>117</v>
      </c>
      <c r="D38" t="s">
        <v>118</v>
      </c>
      <c r="E38" s="1">
        <v>3.56</v>
      </c>
      <c r="F38" s="2">
        <v>0</v>
      </c>
      <c r="G38" s="1">
        <v>5</v>
      </c>
      <c r="H38">
        <v>10</v>
      </c>
      <c r="I38" t="s">
        <v>32</v>
      </c>
      <c r="J38" t="s">
        <v>23</v>
      </c>
      <c r="K38" t="s">
        <v>23</v>
      </c>
      <c r="L38" t="s">
        <v>24</v>
      </c>
      <c r="M38" t="s">
        <v>25</v>
      </c>
      <c r="N38" t="s">
        <v>26</v>
      </c>
      <c r="O38" t="s">
        <v>119</v>
      </c>
      <c r="P38">
        <v>200</v>
      </c>
      <c r="Q38" t="s">
        <v>28</v>
      </c>
      <c r="R38" t="str">
        <f t="shared" si="2"/>
        <v>MiscellaneousUnionAdjustable Union3.56510Generic15/16-1015/16-10Vam BoxVam PinL-80SteelSteel</v>
      </c>
      <c r="S38" t="s">
        <v>29</v>
      </c>
      <c r="T38" t="s">
        <v>29</v>
      </c>
    </row>
    <row r="39" spans="1:20" x14ac:dyDescent="0.2">
      <c r="A39">
        <f t="shared" si="1"/>
        <v>38</v>
      </c>
      <c r="B39" t="s">
        <v>120</v>
      </c>
      <c r="C39" t="s">
        <v>120</v>
      </c>
      <c r="D39" t="s">
        <v>121</v>
      </c>
      <c r="E39" s="1">
        <v>6.98</v>
      </c>
      <c r="F39" s="2">
        <v>0</v>
      </c>
      <c r="G39" s="1">
        <v>0.75</v>
      </c>
      <c r="H39">
        <v>10</v>
      </c>
      <c r="I39" t="s">
        <v>32</v>
      </c>
      <c r="J39" t="s">
        <v>23</v>
      </c>
      <c r="K39" t="s">
        <v>23</v>
      </c>
      <c r="L39" t="s">
        <v>24</v>
      </c>
      <c r="M39" t="s">
        <v>25</v>
      </c>
      <c r="N39" t="s">
        <v>26</v>
      </c>
      <c r="O39" t="s">
        <v>122</v>
      </c>
      <c r="P39">
        <v>200</v>
      </c>
      <c r="Q39" t="s">
        <v>28</v>
      </c>
      <c r="R39" t="str">
        <f t="shared" si="2"/>
        <v>PackerPackerAHC Packer6.980.7510Generic15/16-1015/16-10Vam BoxVam PinL-80SteelSteel</v>
      </c>
      <c r="S39" t="s">
        <v>29</v>
      </c>
      <c r="T39" t="s">
        <v>29</v>
      </c>
    </row>
    <row r="40" spans="1:20" x14ac:dyDescent="0.2">
      <c r="A40">
        <f t="shared" si="1"/>
        <v>39</v>
      </c>
      <c r="B40" t="s">
        <v>120</v>
      </c>
      <c r="C40" t="s">
        <v>120</v>
      </c>
      <c r="D40" t="s">
        <v>123</v>
      </c>
      <c r="E40" s="1">
        <v>6.98</v>
      </c>
      <c r="F40" s="2">
        <v>0</v>
      </c>
      <c r="G40" s="1">
        <v>0.75</v>
      </c>
      <c r="H40">
        <v>10</v>
      </c>
      <c r="I40" t="s">
        <v>32</v>
      </c>
      <c r="J40" t="s">
        <v>23</v>
      </c>
      <c r="K40" t="s">
        <v>23</v>
      </c>
      <c r="L40" t="s">
        <v>24</v>
      </c>
      <c r="M40" t="s">
        <v>25</v>
      </c>
      <c r="N40" t="s">
        <v>26</v>
      </c>
      <c r="O40" t="s">
        <v>124</v>
      </c>
      <c r="P40">
        <v>200</v>
      </c>
      <c r="Q40" t="s">
        <v>28</v>
      </c>
      <c r="R40" t="str">
        <f t="shared" si="2"/>
        <v>PackerPackerAHC  AHR Packer6.980.7510Generic15/16-1015/16-10Vam BoxVam PinL-80SteelSteel</v>
      </c>
      <c r="S40" t="s">
        <v>29</v>
      </c>
      <c r="T40" t="s">
        <v>29</v>
      </c>
    </row>
    <row r="41" spans="1:20" x14ac:dyDescent="0.2">
      <c r="A41">
        <f t="shared" si="1"/>
        <v>40</v>
      </c>
      <c r="B41" t="s">
        <v>120</v>
      </c>
      <c r="C41" t="s">
        <v>120</v>
      </c>
      <c r="D41" t="s">
        <v>125</v>
      </c>
      <c r="E41" s="1">
        <v>6.98</v>
      </c>
      <c r="F41" s="2">
        <v>0</v>
      </c>
      <c r="G41" s="1">
        <v>0.75</v>
      </c>
      <c r="H41">
        <v>10</v>
      </c>
      <c r="I41" t="s">
        <v>32</v>
      </c>
      <c r="J41" t="s">
        <v>23</v>
      </c>
      <c r="K41" t="s">
        <v>23</v>
      </c>
      <c r="L41" t="s">
        <v>24</v>
      </c>
      <c r="M41" t="s">
        <v>25</v>
      </c>
      <c r="N41" t="s">
        <v>26</v>
      </c>
      <c r="O41" t="s">
        <v>126</v>
      </c>
      <c r="P41">
        <v>200</v>
      </c>
      <c r="Q41" t="s">
        <v>28</v>
      </c>
      <c r="R41" t="str">
        <f t="shared" si="2"/>
        <v>PackerPackerASV Packer6.980.7510Generic15/16-1015/16-10Vam BoxVam PinL-80SteelSteel</v>
      </c>
      <c r="S41" t="s">
        <v>29</v>
      </c>
      <c r="T41" t="s">
        <v>29</v>
      </c>
    </row>
    <row r="42" spans="1:20" x14ac:dyDescent="0.2">
      <c r="A42">
        <f t="shared" si="1"/>
        <v>41</v>
      </c>
      <c r="B42" t="s">
        <v>120</v>
      </c>
      <c r="C42" t="s">
        <v>120</v>
      </c>
      <c r="D42" t="s">
        <v>127</v>
      </c>
      <c r="E42" s="1">
        <v>6.98</v>
      </c>
      <c r="F42" s="2">
        <v>0</v>
      </c>
      <c r="G42" s="1">
        <v>0.75</v>
      </c>
      <c r="H42">
        <v>10</v>
      </c>
      <c r="I42" t="s">
        <v>32</v>
      </c>
      <c r="J42" t="s">
        <v>23</v>
      </c>
      <c r="K42" t="s">
        <v>23</v>
      </c>
      <c r="L42" t="s">
        <v>24</v>
      </c>
      <c r="M42" t="s">
        <v>25</v>
      </c>
      <c r="N42" t="s">
        <v>26</v>
      </c>
      <c r="O42" t="s">
        <v>128</v>
      </c>
      <c r="P42">
        <v>200</v>
      </c>
      <c r="Q42" t="s">
        <v>28</v>
      </c>
      <c r="R42" t="str">
        <f t="shared" si="2"/>
        <v>PackerPackerBaker Permanent Packer6.980.7510Generic15/16-1015/16-10Vam BoxVam PinL-80SteelSteel</v>
      </c>
      <c r="S42" t="s">
        <v>29</v>
      </c>
      <c r="T42" t="s">
        <v>29</v>
      </c>
    </row>
    <row r="43" spans="1:20" x14ac:dyDescent="0.2">
      <c r="A43">
        <f t="shared" si="1"/>
        <v>42</v>
      </c>
      <c r="B43" t="s">
        <v>120</v>
      </c>
      <c r="C43" t="s">
        <v>120</v>
      </c>
      <c r="D43" t="s">
        <v>129</v>
      </c>
      <c r="E43" s="1">
        <v>6.98</v>
      </c>
      <c r="F43" s="2">
        <v>0</v>
      </c>
      <c r="G43" s="1">
        <v>0.75</v>
      </c>
      <c r="H43">
        <v>10</v>
      </c>
      <c r="I43" t="s">
        <v>32</v>
      </c>
      <c r="J43" t="s">
        <v>23</v>
      </c>
      <c r="K43" t="s">
        <v>23</v>
      </c>
      <c r="L43" t="s">
        <v>24</v>
      </c>
      <c r="M43" t="s">
        <v>25</v>
      </c>
      <c r="N43" t="s">
        <v>26</v>
      </c>
      <c r="O43" t="s">
        <v>130</v>
      </c>
      <c r="P43">
        <v>200</v>
      </c>
      <c r="Q43" t="s">
        <v>28</v>
      </c>
      <c r="R43" t="str">
        <f t="shared" si="2"/>
        <v>PackerPackerBaker Signature DF Packer6.980.7510Generic15/16-1015/16-10Vam BoxVam PinL-80SteelSteel</v>
      </c>
      <c r="S43" t="s">
        <v>29</v>
      </c>
      <c r="T43" t="s">
        <v>29</v>
      </c>
    </row>
    <row r="44" spans="1:20" x14ac:dyDescent="0.2">
      <c r="A44">
        <f t="shared" si="1"/>
        <v>43</v>
      </c>
      <c r="B44" t="s">
        <v>120</v>
      </c>
      <c r="C44" t="s">
        <v>120</v>
      </c>
      <c r="D44" t="s">
        <v>131</v>
      </c>
      <c r="E44" s="1">
        <v>6.98</v>
      </c>
      <c r="F44" s="2">
        <v>0</v>
      </c>
      <c r="G44" s="1">
        <v>0.75</v>
      </c>
      <c r="H44">
        <v>10</v>
      </c>
      <c r="I44" t="s">
        <v>32</v>
      </c>
      <c r="J44" t="s">
        <v>23</v>
      </c>
      <c r="K44" t="s">
        <v>23</v>
      </c>
      <c r="L44" t="s">
        <v>24</v>
      </c>
      <c r="M44" t="s">
        <v>25</v>
      </c>
      <c r="N44" t="s">
        <v>26</v>
      </c>
      <c r="O44" t="s">
        <v>132</v>
      </c>
      <c r="P44">
        <v>200</v>
      </c>
      <c r="Q44" t="s">
        <v>28</v>
      </c>
      <c r="R44" t="str">
        <f t="shared" si="2"/>
        <v>PackerPackerBaker Direct Packer6.980.7510Generic15/16-1015/16-10Vam BoxVam PinL-80SteelSteel</v>
      </c>
      <c r="S44" t="s">
        <v>29</v>
      </c>
      <c r="T44" t="s">
        <v>29</v>
      </c>
    </row>
    <row r="45" spans="1:20" x14ac:dyDescent="0.2">
      <c r="A45">
        <f t="shared" si="1"/>
        <v>44</v>
      </c>
      <c r="B45" t="s">
        <v>120</v>
      </c>
      <c r="C45" t="s">
        <v>120</v>
      </c>
      <c r="D45" t="s">
        <v>133</v>
      </c>
      <c r="E45" s="1">
        <v>6.98</v>
      </c>
      <c r="F45" s="2">
        <v>0</v>
      </c>
      <c r="G45" s="1">
        <v>0.75</v>
      </c>
      <c r="H45">
        <v>10</v>
      </c>
      <c r="I45" t="s">
        <v>32</v>
      </c>
      <c r="J45" t="s">
        <v>23</v>
      </c>
      <c r="K45" t="s">
        <v>23</v>
      </c>
      <c r="L45" t="s">
        <v>24</v>
      </c>
      <c r="M45" t="s">
        <v>25</v>
      </c>
      <c r="N45" t="s">
        <v>26</v>
      </c>
      <c r="O45" t="s">
        <v>134</v>
      </c>
      <c r="P45">
        <v>200</v>
      </c>
      <c r="Q45" t="s">
        <v>28</v>
      </c>
      <c r="R45" t="str">
        <f t="shared" si="2"/>
        <v>PackerPackerMHR Ratch Packer6.980.7510Generic15/16-1015/16-10Vam BoxVam PinL-80SteelSteel</v>
      </c>
      <c r="S45" t="s">
        <v>29</v>
      </c>
      <c r="T45" t="s">
        <v>29</v>
      </c>
    </row>
    <row r="46" spans="1:20" x14ac:dyDescent="0.2">
      <c r="A46">
        <f t="shared" si="1"/>
        <v>45</v>
      </c>
      <c r="B46" t="s">
        <v>120</v>
      </c>
      <c r="C46" t="s">
        <v>120</v>
      </c>
      <c r="D46" t="s">
        <v>135</v>
      </c>
      <c r="E46" s="1">
        <v>6.98</v>
      </c>
      <c r="F46" s="2">
        <v>0</v>
      </c>
      <c r="G46" s="1">
        <v>0.75</v>
      </c>
      <c r="H46">
        <v>10</v>
      </c>
      <c r="I46" t="s">
        <v>32</v>
      </c>
      <c r="J46" t="s">
        <v>23</v>
      </c>
      <c r="K46" t="s">
        <v>23</v>
      </c>
      <c r="L46" t="s">
        <v>24</v>
      </c>
      <c r="M46" t="s">
        <v>25</v>
      </c>
      <c r="N46" t="s">
        <v>26</v>
      </c>
      <c r="O46" t="s">
        <v>136</v>
      </c>
      <c r="P46">
        <v>200</v>
      </c>
      <c r="Q46" t="s">
        <v>28</v>
      </c>
      <c r="R46" t="str">
        <f t="shared" si="2"/>
        <v>PackerPackerRDH Packer6.980.7510Generic15/16-1015/16-10Vam BoxVam PinL-80SteelSteel</v>
      </c>
      <c r="S46" t="s">
        <v>29</v>
      </c>
      <c r="T46" t="s">
        <v>29</v>
      </c>
    </row>
    <row r="47" spans="1:20" x14ac:dyDescent="0.2">
      <c r="A47">
        <f t="shared" si="1"/>
        <v>46</v>
      </c>
      <c r="B47" t="s">
        <v>120</v>
      </c>
      <c r="C47" t="s">
        <v>120</v>
      </c>
      <c r="D47" t="s">
        <v>137</v>
      </c>
      <c r="E47" s="1">
        <v>6.98</v>
      </c>
      <c r="F47" s="2">
        <v>0</v>
      </c>
      <c r="G47" s="1">
        <v>0.75</v>
      </c>
      <c r="H47">
        <v>10</v>
      </c>
      <c r="I47" t="s">
        <v>32</v>
      </c>
      <c r="J47" t="s">
        <v>23</v>
      </c>
      <c r="K47" t="s">
        <v>23</v>
      </c>
      <c r="L47" t="s">
        <v>24</v>
      </c>
      <c r="M47" t="s">
        <v>25</v>
      </c>
      <c r="N47" t="s">
        <v>26</v>
      </c>
      <c r="O47" t="s">
        <v>138</v>
      </c>
      <c r="P47">
        <v>200</v>
      </c>
      <c r="Q47" t="s">
        <v>28</v>
      </c>
      <c r="R47" t="str">
        <f t="shared" si="2"/>
        <v>PackerPackerRH Packer6.980.7510Generic15/16-1015/16-10Vam BoxVam PinL-80SteelSteel</v>
      </c>
      <c r="S47" t="s">
        <v>29</v>
      </c>
      <c r="T47" t="s">
        <v>29</v>
      </c>
    </row>
    <row r="48" spans="1:20" x14ac:dyDescent="0.2">
      <c r="A48">
        <f t="shared" si="1"/>
        <v>47</v>
      </c>
      <c r="B48" t="s">
        <v>120</v>
      </c>
      <c r="C48" t="s">
        <v>120</v>
      </c>
      <c r="D48" t="s">
        <v>139</v>
      </c>
      <c r="E48" s="1">
        <v>6.98</v>
      </c>
      <c r="F48" s="2">
        <v>0</v>
      </c>
      <c r="G48" s="1">
        <v>0.75</v>
      </c>
      <c r="H48">
        <v>10</v>
      </c>
      <c r="I48" t="s">
        <v>32</v>
      </c>
      <c r="J48" t="s">
        <v>23</v>
      </c>
      <c r="K48" t="s">
        <v>23</v>
      </c>
      <c r="L48" t="s">
        <v>24</v>
      </c>
      <c r="M48" t="s">
        <v>25</v>
      </c>
      <c r="N48" t="s">
        <v>26</v>
      </c>
      <c r="O48" t="s">
        <v>140</v>
      </c>
      <c r="P48">
        <v>200</v>
      </c>
      <c r="Q48" t="s">
        <v>28</v>
      </c>
      <c r="R48" t="str">
        <f t="shared" si="2"/>
        <v>PackerPackerBaker Sand Control Packer Pin Down6.980.7510Generic15/16-1015/16-10Vam BoxVam PinL-80SteelSteel</v>
      </c>
      <c r="S48" t="s">
        <v>29</v>
      </c>
      <c r="T48" t="s">
        <v>29</v>
      </c>
    </row>
    <row r="49" spans="1:20" x14ac:dyDescent="0.2">
      <c r="A49">
        <f t="shared" si="1"/>
        <v>48</v>
      </c>
      <c r="B49" t="s">
        <v>120</v>
      </c>
      <c r="C49" t="s">
        <v>120</v>
      </c>
      <c r="D49" t="s">
        <v>141</v>
      </c>
      <c r="E49" s="1">
        <v>6.98</v>
      </c>
      <c r="F49" s="2">
        <v>0</v>
      </c>
      <c r="G49" s="1">
        <v>0.75</v>
      </c>
      <c r="H49">
        <v>10</v>
      </c>
      <c r="I49" t="s">
        <v>32</v>
      </c>
      <c r="J49" t="s">
        <v>23</v>
      </c>
      <c r="K49" t="s">
        <v>23</v>
      </c>
      <c r="L49" t="s">
        <v>24</v>
      </c>
      <c r="M49" t="s">
        <v>25</v>
      </c>
      <c r="N49" t="s">
        <v>26</v>
      </c>
      <c r="O49" t="s">
        <v>142</v>
      </c>
      <c r="P49">
        <v>200</v>
      </c>
      <c r="Q49" t="s">
        <v>28</v>
      </c>
      <c r="R49" t="str">
        <f t="shared" si="2"/>
        <v>PackerPackerBaker Sand Control Packer Control Box Down6.980.7510Generic15/16-1015/16-10Vam BoxVam PinL-80SteelSteel</v>
      </c>
      <c r="S49" t="s">
        <v>29</v>
      </c>
      <c r="T49" t="s">
        <v>29</v>
      </c>
    </row>
    <row r="50" spans="1:20" x14ac:dyDescent="0.2">
      <c r="A50">
        <f t="shared" si="1"/>
        <v>49</v>
      </c>
      <c r="B50" t="s">
        <v>120</v>
      </c>
      <c r="C50" t="s">
        <v>120</v>
      </c>
      <c r="D50" t="s">
        <v>137</v>
      </c>
      <c r="E50" s="1">
        <v>6.98</v>
      </c>
      <c r="F50" s="2">
        <v>0</v>
      </c>
      <c r="G50" s="1">
        <v>0.75</v>
      </c>
      <c r="H50">
        <v>10</v>
      </c>
      <c r="I50" t="s">
        <v>32</v>
      </c>
      <c r="J50" t="s">
        <v>23</v>
      </c>
      <c r="K50" t="s">
        <v>23</v>
      </c>
      <c r="L50" t="s">
        <v>24</v>
      </c>
      <c r="M50" t="s">
        <v>25</v>
      </c>
      <c r="N50" t="s">
        <v>26</v>
      </c>
      <c r="O50" t="s">
        <v>138</v>
      </c>
      <c r="P50">
        <v>200</v>
      </c>
      <c r="Q50" t="s">
        <v>28</v>
      </c>
      <c r="R50" t="str">
        <f t="shared" si="2"/>
        <v>PackerPackerRH Packer6.980.7510Generic15/16-1015/16-10Vam BoxVam PinL-80SteelSteel</v>
      </c>
      <c r="S50" t="s">
        <v>29</v>
      </c>
      <c r="T50" t="s">
        <v>29</v>
      </c>
    </row>
    <row r="51" spans="1:20" x14ac:dyDescent="0.2">
      <c r="A51">
        <f t="shared" si="1"/>
        <v>50</v>
      </c>
      <c r="B51" t="s">
        <v>120</v>
      </c>
      <c r="C51" t="s">
        <v>143</v>
      </c>
      <c r="D51" t="s">
        <v>144</v>
      </c>
      <c r="E51" s="1">
        <v>5</v>
      </c>
      <c r="F51" s="2">
        <v>0</v>
      </c>
      <c r="G51" s="1">
        <v>0.75</v>
      </c>
      <c r="H51">
        <v>10</v>
      </c>
      <c r="I51" t="s">
        <v>32</v>
      </c>
      <c r="J51" t="s">
        <v>23</v>
      </c>
      <c r="K51" t="s">
        <v>23</v>
      </c>
      <c r="L51" t="s">
        <v>24</v>
      </c>
      <c r="M51" t="s">
        <v>25</v>
      </c>
      <c r="N51" t="s">
        <v>145</v>
      </c>
      <c r="O51" t="s">
        <v>146</v>
      </c>
      <c r="P51">
        <v>200</v>
      </c>
      <c r="Q51" t="s">
        <v>28</v>
      </c>
      <c r="R51" t="str">
        <f t="shared" si="2"/>
        <v>PackerPlugFrac Plug50.7510Generic15/16-1015/16-10Vam BoxVam PinNASteelSteel</v>
      </c>
      <c r="S51" t="s">
        <v>29</v>
      </c>
      <c r="T51" t="s">
        <v>29</v>
      </c>
    </row>
    <row r="52" spans="1:20" x14ac:dyDescent="0.2">
      <c r="A52">
        <f t="shared" si="1"/>
        <v>51</v>
      </c>
      <c r="B52" t="s">
        <v>120</v>
      </c>
      <c r="C52" t="s">
        <v>147</v>
      </c>
      <c r="D52" t="s">
        <v>148</v>
      </c>
      <c r="E52" s="1">
        <v>4.5</v>
      </c>
      <c r="F52" s="2">
        <v>3.6880000000000002</v>
      </c>
      <c r="G52" s="1">
        <v>0.75</v>
      </c>
      <c r="H52">
        <v>20</v>
      </c>
      <c r="I52" t="s">
        <v>22</v>
      </c>
      <c r="J52" t="s">
        <v>63</v>
      </c>
      <c r="K52" t="s">
        <v>64</v>
      </c>
      <c r="L52" t="s">
        <v>24</v>
      </c>
      <c r="M52" t="s">
        <v>25</v>
      </c>
      <c r="N52" t="s">
        <v>65</v>
      </c>
      <c r="O52" t="s">
        <v>140</v>
      </c>
      <c r="P52">
        <v>200</v>
      </c>
      <c r="Q52" t="s">
        <v>28</v>
      </c>
      <c r="R52" t="str">
        <f t="shared" si="2"/>
        <v>PackerSand ControlSand Control Packer4.50.7520Baker Hughes3-1/8"2-7/8"Vam BoxVam PinCR-13Ironhead</v>
      </c>
      <c r="S52" t="s">
        <v>59</v>
      </c>
      <c r="T52" t="s">
        <v>60</v>
      </c>
    </row>
    <row r="53" spans="1:20" x14ac:dyDescent="0.2">
      <c r="A53">
        <f t="shared" si="1"/>
        <v>52</v>
      </c>
      <c r="B53" t="s">
        <v>120</v>
      </c>
      <c r="C53" t="s">
        <v>120</v>
      </c>
      <c r="D53" t="s">
        <v>149</v>
      </c>
      <c r="E53" s="1">
        <v>4.5</v>
      </c>
      <c r="F53" s="2">
        <v>3.6880000000000002</v>
      </c>
      <c r="G53" s="1">
        <v>0.75</v>
      </c>
      <c r="H53">
        <v>20</v>
      </c>
      <c r="I53" t="s">
        <v>22</v>
      </c>
      <c r="J53" t="s">
        <v>63</v>
      </c>
      <c r="K53" t="s">
        <v>64</v>
      </c>
      <c r="L53" t="s">
        <v>24</v>
      </c>
      <c r="M53" t="s">
        <v>25</v>
      </c>
      <c r="N53" t="s">
        <v>65</v>
      </c>
      <c r="O53" t="s">
        <v>128</v>
      </c>
      <c r="P53">
        <v>200</v>
      </c>
      <c r="Q53" t="s">
        <v>28</v>
      </c>
      <c r="R53" t="str">
        <f t="shared" si="2"/>
        <v>PackerPackerPermanent Packer4.50.7520Baker Hughes3-1/8"2-7/8"Vam BoxVam PinCR-13Ironhead</v>
      </c>
      <c r="S53" t="s">
        <v>59</v>
      </c>
      <c r="T53" t="s">
        <v>60</v>
      </c>
    </row>
    <row r="54" spans="1:20" x14ac:dyDescent="0.2">
      <c r="A54">
        <f t="shared" si="1"/>
        <v>53</v>
      </c>
      <c r="B54" t="s">
        <v>150</v>
      </c>
      <c r="C54" t="s">
        <v>151</v>
      </c>
      <c r="D54" t="s">
        <v>152</v>
      </c>
      <c r="E54" s="1">
        <v>3.56</v>
      </c>
      <c r="F54" s="2">
        <v>0</v>
      </c>
      <c r="G54" s="1">
        <v>0.5</v>
      </c>
      <c r="H54">
        <v>10</v>
      </c>
      <c r="I54" t="s">
        <v>153</v>
      </c>
      <c r="J54" t="s">
        <v>23</v>
      </c>
      <c r="K54" t="s">
        <v>23</v>
      </c>
      <c r="L54" t="s">
        <v>24</v>
      </c>
      <c r="M54" t="s">
        <v>25</v>
      </c>
      <c r="N54" t="s">
        <v>26</v>
      </c>
      <c r="O54" t="s">
        <v>58</v>
      </c>
      <c r="P54">
        <v>200</v>
      </c>
      <c r="Q54" t="s">
        <v>28</v>
      </c>
      <c r="R54" t="str">
        <f t="shared" si="2"/>
        <v>PlugsBridge PlugBaker Bridge Plug3.560.510Baker15/16-1015/16-10Vam BoxVam PinL-80Compositehead</v>
      </c>
      <c r="S54" t="s">
        <v>79</v>
      </c>
      <c r="T54" t="s">
        <v>60</v>
      </c>
    </row>
    <row r="55" spans="1:20" x14ac:dyDescent="0.2">
      <c r="A55">
        <f t="shared" si="1"/>
        <v>54</v>
      </c>
      <c r="B55" t="s">
        <v>154</v>
      </c>
      <c r="C55" t="s">
        <v>115</v>
      </c>
      <c r="D55" t="s">
        <v>115</v>
      </c>
      <c r="E55" s="1">
        <v>2.875</v>
      </c>
      <c r="F55" s="2">
        <v>2.25</v>
      </c>
      <c r="G55" s="1">
        <v>9</v>
      </c>
      <c r="H55">
        <v>40</v>
      </c>
      <c r="I55" t="s">
        <v>155</v>
      </c>
      <c r="J55" t="s">
        <v>23</v>
      </c>
      <c r="K55" t="s">
        <v>57</v>
      </c>
      <c r="L55" t="s">
        <v>74</v>
      </c>
      <c r="M55" t="s">
        <v>75</v>
      </c>
      <c r="N55" t="s">
        <v>26</v>
      </c>
      <c r="O55" t="s">
        <v>116</v>
      </c>
      <c r="P55">
        <v>200</v>
      </c>
      <c r="Q55" t="s">
        <v>28</v>
      </c>
      <c r="R55" t="str">
        <f t="shared" si="2"/>
        <v>TubingTubing JointsTubing Joints2.875940General15/16-101 1/16-10Eue BoxEue PinL-80SteelSteel</v>
      </c>
      <c r="S55" t="s">
        <v>29</v>
      </c>
      <c r="T55" t="s">
        <v>29</v>
      </c>
    </row>
    <row r="56" spans="1:20" x14ac:dyDescent="0.2">
      <c r="A56">
        <f t="shared" si="1"/>
        <v>55</v>
      </c>
      <c r="B56" t="s">
        <v>154</v>
      </c>
      <c r="C56" t="s">
        <v>66</v>
      </c>
      <c r="D56" t="s">
        <v>156</v>
      </c>
      <c r="E56" s="1">
        <v>2.875</v>
      </c>
      <c r="F56" s="2">
        <v>2.25</v>
      </c>
      <c r="G56" s="1">
        <v>2</v>
      </c>
      <c r="H56">
        <v>40</v>
      </c>
      <c r="I56" t="s">
        <v>155</v>
      </c>
      <c r="J56" t="s">
        <v>23</v>
      </c>
      <c r="K56" t="s">
        <v>57</v>
      </c>
      <c r="L56" t="s">
        <v>74</v>
      </c>
      <c r="M56" t="s">
        <v>75</v>
      </c>
      <c r="N56" t="s">
        <v>26</v>
      </c>
      <c r="O56" t="s">
        <v>114</v>
      </c>
      <c r="P56">
        <v>200</v>
      </c>
      <c r="Q56" t="s">
        <v>28</v>
      </c>
      <c r="R56" t="str">
        <f t="shared" si="2"/>
        <v>TubingPup JointTubing Pup2.875240General15/16-101 1/16-10Eue BoxEue PinL-80SteelSteel</v>
      </c>
      <c r="S56" t="s">
        <v>29</v>
      </c>
      <c r="T56" t="s">
        <v>29</v>
      </c>
    </row>
    <row r="57" spans="1:20" x14ac:dyDescent="0.2">
      <c r="A57">
        <f t="shared" si="1"/>
        <v>56</v>
      </c>
      <c r="B57" t="s">
        <v>154</v>
      </c>
      <c r="C57" t="s">
        <v>154</v>
      </c>
      <c r="D57" t="s">
        <v>157</v>
      </c>
      <c r="E57" s="1">
        <v>4.5</v>
      </c>
      <c r="F57" s="2">
        <v>3.6880000000000002</v>
      </c>
      <c r="G57" s="1">
        <v>20</v>
      </c>
      <c r="H57">
        <v>9</v>
      </c>
      <c r="I57" t="s">
        <v>22</v>
      </c>
      <c r="J57" t="s">
        <v>158</v>
      </c>
      <c r="K57" t="s">
        <v>158</v>
      </c>
      <c r="L57" t="s">
        <v>24</v>
      </c>
      <c r="M57" t="s">
        <v>25</v>
      </c>
      <c r="N57" t="s">
        <v>26</v>
      </c>
      <c r="O57" t="s">
        <v>58</v>
      </c>
      <c r="P57">
        <v>200</v>
      </c>
      <c r="Q57" t="s">
        <v>28</v>
      </c>
      <c r="R57" t="str">
        <f t="shared" si="2"/>
        <v>TubingTubingCompletions4.5209Baker Hughes2-15/16-102-15/16-10Vam BoxVam PinL-80Ironhead</v>
      </c>
      <c r="S57" t="s">
        <v>59</v>
      </c>
      <c r="T57" t="s">
        <v>60</v>
      </c>
    </row>
    <row r="58" spans="1:20" x14ac:dyDescent="0.2">
      <c r="A58">
        <f t="shared" si="1"/>
        <v>57</v>
      </c>
      <c r="B58" t="s">
        <v>154</v>
      </c>
      <c r="C58" t="s">
        <v>70</v>
      </c>
      <c r="D58" t="s">
        <v>157</v>
      </c>
      <c r="E58" s="1">
        <v>7</v>
      </c>
      <c r="F58" s="2">
        <v>2.2999999999999998</v>
      </c>
      <c r="G58" s="1">
        <v>2</v>
      </c>
      <c r="H58">
        <v>9</v>
      </c>
      <c r="I58" t="s">
        <v>22</v>
      </c>
      <c r="J58" t="s">
        <v>158</v>
      </c>
      <c r="K58" t="s">
        <v>158</v>
      </c>
      <c r="L58" t="s">
        <v>74</v>
      </c>
      <c r="M58" t="s">
        <v>75</v>
      </c>
      <c r="N58" t="s">
        <v>26</v>
      </c>
      <c r="O58" t="s">
        <v>160</v>
      </c>
      <c r="P58">
        <v>200</v>
      </c>
      <c r="Q58" t="s">
        <v>28</v>
      </c>
      <c r="R58" t="str">
        <f t="shared" ref="R58" si="3">B58&amp;C58&amp;D58&amp;E58&amp;G58&amp;H58&amp;I58&amp;J58&amp;K58&amp;L58&amp;M58&amp;N58&amp;S58&amp;T58</f>
        <v>TubingHangerCompletions729Baker Hughes2-15/16-102-15/16-10Eue BoxEue PinL-80IronSteel</v>
      </c>
      <c r="S58" t="s">
        <v>59</v>
      </c>
      <c r="T58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2023-09-04T16:39:10Z</dcterms:modified>
  <cp:category/>
  <cp:contentStatus/>
</cp:coreProperties>
</file>